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220" windowWidth="7470" windowHeight="1170" tabRatio="497"/>
  </bookViews>
  <sheets>
    <sheet name="SIT_CYCLE" sheetId="9" r:id="rId1"/>
    <sheet name="PCCS" sheetId="10" r:id="rId2"/>
  </sheets>
  <calcPr calcId="145621"/>
</workbook>
</file>

<file path=xl/calcChain.xml><?xml version="1.0" encoding="utf-8"?>
<calcChain xmlns="http://schemas.openxmlformats.org/spreadsheetml/2006/main">
  <c r="W20" i="9" l="1"/>
  <c r="W7" i="9" l="1"/>
  <c r="W6" i="9" l="1"/>
  <c r="W3" i="9" l="1"/>
  <c r="W4" i="9"/>
  <c r="W2" i="9"/>
</calcChain>
</file>

<file path=xl/sharedStrings.xml><?xml version="1.0" encoding="utf-8"?>
<sst xmlns="http://schemas.openxmlformats.org/spreadsheetml/2006/main" count="299" uniqueCount="141">
  <si>
    <t>DESC</t>
  </si>
  <si>
    <t>PreviousRunStatus</t>
  </si>
  <si>
    <t>RUN</t>
  </si>
  <si>
    <t>Name</t>
  </si>
  <si>
    <t>Issuer</t>
  </si>
  <si>
    <t>Account Number</t>
  </si>
  <si>
    <t>Card Number</t>
  </si>
  <si>
    <t>Account Type</t>
  </si>
  <si>
    <t>Transaction Amount</t>
  </si>
  <si>
    <t>From Date</t>
  </si>
  <si>
    <t>To Date</t>
  </si>
  <si>
    <t>Transfer Account</t>
  </si>
  <si>
    <t>TP</t>
  </si>
  <si>
    <t>Transaction Date</t>
  </si>
  <si>
    <t>Transaction Time</t>
  </si>
  <si>
    <t>Tran Type Code</t>
  </si>
  <si>
    <t>IM</t>
  </si>
  <si>
    <t>01</t>
  </si>
  <si>
    <t>04</t>
  </si>
  <si>
    <t>Post Batch Balance</t>
  </si>
  <si>
    <t>Pre Batch Balance</t>
  </si>
  <si>
    <t>0041</t>
  </si>
  <si>
    <t>CT AT</t>
  </si>
  <si>
    <t>4668014006413823</t>
  </si>
  <si>
    <t>QC ID</t>
  </si>
  <si>
    <t>Screenshot</t>
  </si>
  <si>
    <t>Post Date</t>
  </si>
  <si>
    <t>Pre Account Screen</t>
  </si>
  <si>
    <t>Post Account Screen</t>
  </si>
  <si>
    <t>Failed</t>
  </si>
  <si>
    <t>ST</t>
  </si>
  <si>
    <t>0085</t>
  </si>
  <si>
    <t>Fee Charge</t>
  </si>
  <si>
    <t>Expected Posting Results</t>
  </si>
  <si>
    <t>Balance Difference</t>
  </si>
  <si>
    <t>[1]01_12 WTD FND</t>
  </si>
  <si>
    <t>12 WTD FND</t>
  </si>
  <si>
    <t>NO</t>
  </si>
  <si>
    <t>Passed</t>
  </si>
  <si>
    <t>4081881000000007</t>
  </si>
  <si>
    <t>10917788</t>
  </si>
  <si>
    <r>
      <rPr>
        <sz val="11"/>
        <color rgb="FFFF0000"/>
        <rFont val="Calibri"/>
        <family val="2"/>
        <scheme val="minor"/>
      </rPr>
      <t xml:space="preserve">$60 debit </t>
    </r>
    <r>
      <rPr>
        <sz val="11"/>
        <color rgb="FF000000"/>
        <rFont val="Calibri"/>
        <family val="2"/>
        <scheme val="minor"/>
      </rPr>
      <t xml:space="preserve">                                                                                              </t>
    </r>
    <r>
      <rPr>
        <sz val="11"/>
        <color rgb="FFFF0000"/>
        <rFont val="Calibri"/>
        <family val="2"/>
        <scheme val="minor"/>
      </rPr>
      <t>$2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Out of Network Fee</t>
    </r>
  </si>
  <si>
    <t>[1]02_13 WTD DDA1 SURCHARGE</t>
  </si>
  <si>
    <t>13 WTD DDA1 SURCHARGE</t>
  </si>
  <si>
    <r>
      <rPr>
        <sz val="11"/>
        <color rgb="FFFF0000"/>
        <rFont val="Calibri"/>
        <family val="2"/>
        <scheme val="minor"/>
      </rPr>
      <t>$26</t>
    </r>
    <r>
      <rPr>
        <sz val="10"/>
        <rFont val="Arial"/>
        <family val="2"/>
      </rPr>
      <t xml:space="preserve"> (25 +1 surcharge)                                                                                                      </t>
    </r>
    <r>
      <rPr>
        <sz val="11"/>
        <color rgb="FFFF0000"/>
        <rFont val="Calibri"/>
        <family val="2"/>
        <scheme val="minor"/>
      </rPr>
      <t xml:space="preserve">$2 </t>
    </r>
    <r>
      <rPr>
        <sz val="11"/>
        <rFont val="Calibri"/>
        <family val="2"/>
        <scheme val="minor"/>
      </rPr>
      <t>Out of Network Fee</t>
    </r>
  </si>
  <si>
    <t>[1]03_14 WTD SAV1 SURCHARGE</t>
  </si>
  <si>
    <t>14 WTD SAV1 SURCHARGE</t>
  </si>
  <si>
    <t>15139829</t>
  </si>
  <si>
    <r>
      <rPr>
        <sz val="11"/>
        <color rgb="FFFF0000"/>
        <rFont val="Calibri"/>
        <family val="2"/>
        <scheme val="minor"/>
      </rPr>
      <t>$36 debit</t>
    </r>
    <r>
      <rPr>
        <sz val="10"/>
        <rFont val="Arial"/>
        <family val="2"/>
      </rPr>
      <t xml:space="preserve"> (35 + 1 surcharge)                                                             </t>
    </r>
    <r>
      <rPr>
        <sz val="11"/>
        <color rgb="FFFF0000"/>
        <rFont val="Calibri"/>
        <family val="2"/>
        <scheme val="minor"/>
      </rPr>
      <t>$2</t>
    </r>
    <r>
      <rPr>
        <sz val="10"/>
        <rFont val="Arial"/>
        <family val="2"/>
      </rPr>
      <t xml:space="preserve"> </t>
    </r>
    <r>
      <rPr>
        <sz val="11"/>
        <rFont val="Calibri"/>
        <family val="2"/>
        <scheme val="minor"/>
      </rPr>
      <t>Out of Network Fee</t>
    </r>
  </si>
  <si>
    <t>930.00</t>
  </si>
  <si>
    <t>821.00</t>
  </si>
  <si>
    <t>C:\ExcelPlugIn\Screenshots\Test__1.docx</t>
  </si>
  <si>
    <t>C:\ExcelPlugIn\Screenshots\Test__2.docx</t>
  </si>
  <si>
    <t>C:\ExcelPlugIn\Screenshots\Test__3.docx</t>
  </si>
  <si>
    <t>C:\ExcelPlugIn\Screenshots\TesPre_1.docx</t>
  </si>
  <si>
    <t>C:\ExcelPlugIn\Screenshots\TesPre_3.docx</t>
  </si>
  <si>
    <t>[1]TC2_Emp_NOC_RoleAccess_NO</t>
  </si>
  <si>
    <t>CT PSS</t>
  </si>
  <si>
    <t>[1]50_33 XFR SAV1  TO  DDA1</t>
  </si>
  <si>
    <t>33 XFR SAV1  TO  DDA1</t>
  </si>
  <si>
    <t>4027081000000019</t>
  </si>
  <si>
    <t xml:space="preserve">15139829 </t>
  </si>
  <si>
    <t>PC AT</t>
  </si>
  <si>
    <t>49895841</t>
  </si>
  <si>
    <r>
      <rPr>
        <sz val="11"/>
        <color rgb="FFFF0000"/>
        <rFont val="Calibri"/>
        <family val="2"/>
        <scheme val="minor"/>
      </rPr>
      <t>$27 Debit</t>
    </r>
    <r>
      <rPr>
        <sz val="10"/>
        <rFont val="Arial"/>
        <family val="2"/>
      </rPr>
      <t xml:space="preserve"> from ST                                                                              </t>
    </r>
    <r>
      <rPr>
        <sz val="11"/>
        <color rgb="FFFF0000"/>
        <rFont val="Calibri"/>
        <family val="2"/>
        <scheme val="minor"/>
      </rPr>
      <t>$2</t>
    </r>
    <r>
      <rPr>
        <sz val="10"/>
        <rFont val="Arial"/>
        <family val="2"/>
      </rPr>
      <t xml:space="preserve"> out of network fee from ST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$27 Credit</t>
    </r>
    <r>
      <rPr>
        <sz val="10"/>
        <rFont val="Arial"/>
        <family val="2"/>
      </rPr>
      <t xml:space="preserve"> to IM</t>
    </r>
  </si>
  <si>
    <t>[1]99_015 PreAuth with OverComp Man</t>
  </si>
  <si>
    <t>XFER from IM to ST</t>
  </si>
  <si>
    <t>4382404000000020</t>
  </si>
  <si>
    <t>10808832</t>
  </si>
  <si>
    <r>
      <rPr>
        <sz val="11"/>
        <color rgb="FFFF0000"/>
        <rFont val="Calibri"/>
        <family val="2"/>
        <scheme val="minor"/>
      </rPr>
      <t>$32.22 Debit</t>
    </r>
    <r>
      <rPr>
        <sz val="10"/>
        <rFont val="Arial"/>
        <family val="2"/>
      </rPr>
      <t xml:space="preserve"> from IM                       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$32.22 Credit</t>
    </r>
    <r>
      <rPr>
        <sz val="10"/>
        <rFont val="Arial"/>
        <family val="2"/>
      </rPr>
      <t xml:space="preserve"> to ST</t>
    </r>
  </si>
  <si>
    <t>2587.22</t>
  </si>
  <si>
    <t>C:\ExcelPlugIn\Screenshots\Test2__6.docx</t>
  </si>
  <si>
    <t>C:\ExcelPlugIn\Screenshots\TEst5_5.docx</t>
  </si>
  <si>
    <t>Yes</t>
  </si>
  <si>
    <t>C:\Users\Touseef.Tamboli\Desktop\BatchExecution\Cycle1_May15\EMV_Cycle1\EMV_Cycle1__50.docx</t>
  </si>
  <si>
    <t>[1]170_WD from ST</t>
  </si>
  <si>
    <t>WD from ST</t>
  </si>
  <si>
    <t>02</t>
  </si>
  <si>
    <t>4027092000000024</t>
  </si>
  <si>
    <t>$40 debit</t>
  </si>
  <si>
    <t>150.00</t>
  </si>
  <si>
    <t>120.00</t>
  </si>
  <si>
    <t>C:\Users\Touseef.Tamboli\Desktop\BatchExecution\Cycle1_May15\EMV_Cycle1\EMV_Cycle1__161.docx</t>
  </si>
  <si>
    <t>[1]171_XFER from ST to IM</t>
  </si>
  <si>
    <t>311975</t>
  </si>
  <si>
    <t>10808741</t>
  </si>
  <si>
    <r>
      <rPr>
        <sz val="11"/>
        <color rgb="FFFF0000"/>
        <rFont val="Calibri"/>
        <family val="2"/>
        <scheme val="minor"/>
      </rPr>
      <t>$10 Debit</t>
    </r>
    <r>
      <rPr>
        <sz val="10"/>
        <rFont val="Arial"/>
        <family val="2"/>
      </rPr>
      <t xml:space="preserve"> from IM                       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$10 Credit</t>
    </r>
    <r>
      <rPr>
        <sz val="10"/>
        <rFont val="Arial"/>
        <family val="2"/>
      </rPr>
      <t xml:space="preserve"> to ST</t>
    </r>
  </si>
  <si>
    <t>4352.48</t>
  </si>
  <si>
    <t>3954.63</t>
  </si>
  <si>
    <t>C:\Users\Touseef.Tamboli\Desktop\BatchExecution\Cycle1_May15\EMV_Cycle1\EMV_Cycle1__162.docx</t>
  </si>
  <si>
    <t>[1]173_WD from IM</t>
  </si>
  <si>
    <t>03</t>
  </si>
  <si>
    <t>4027083000000015</t>
  </si>
  <si>
    <t>$60 debit</t>
  </si>
  <si>
    <t>1042.00</t>
  </si>
  <si>
    <t>980.00</t>
  </si>
  <si>
    <t>C:\Users\Touseef.Tamboli\Desktop\BatchExecution\Cycle1_May15\EMV_Cycle1\EMV_Cycle1__164.docx</t>
  </si>
  <si>
    <t>[1]174_XFER from IM to ST</t>
  </si>
  <si>
    <t>XFER from ST to IM</t>
  </si>
  <si>
    <t>15248943</t>
  </si>
  <si>
    <t>49896201</t>
  </si>
  <si>
    <r>
      <rPr>
        <sz val="11"/>
        <color rgb="FFFF0000"/>
        <rFont val="Calibri"/>
        <family val="2"/>
        <scheme val="minor"/>
      </rPr>
      <t>$2 Debit</t>
    </r>
    <r>
      <rPr>
        <sz val="10"/>
        <rFont val="Arial"/>
        <family val="2"/>
      </rPr>
      <t xml:space="preserve"> from ST                       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$2 Credit</t>
    </r>
    <r>
      <rPr>
        <sz val="10"/>
        <rFont val="Arial"/>
        <family val="2"/>
      </rPr>
      <t xml:space="preserve"> to IM</t>
    </r>
  </si>
  <si>
    <t>C:\Users\Touseef.Tamboli\Desktop\BatchExecution\Cycle1_May15\EMV_Cycle1\EMV_Cycle1__165.docx</t>
  </si>
  <si>
    <t>[1]92_006 Pre Auth Advice SI SWIPE</t>
  </si>
  <si>
    <t>07</t>
  </si>
  <si>
    <t>4584537000000031</t>
  </si>
  <si>
    <t>200.00</t>
  </si>
  <si>
    <t>195.00</t>
  </si>
  <si>
    <t>C:\Users\Touseef.Tamboli\Desktop\BatchExecution\Cycle1_May15\EMV_Cycle1\EMV_Cycle1__167.docx</t>
  </si>
  <si>
    <t>[1]93_007 Pre Auth Advice SI Manual</t>
  </si>
  <si>
    <t xml:space="preserve">49896570 </t>
  </si>
  <si>
    <t>10808857</t>
  </si>
  <si>
    <r>
      <rPr>
        <sz val="11"/>
        <color rgb="FFFF0000"/>
        <rFont val="Calibri"/>
        <family val="2"/>
        <scheme val="minor"/>
      </rPr>
      <t>$35 Debit</t>
    </r>
    <r>
      <rPr>
        <sz val="10"/>
        <rFont val="Arial"/>
        <family val="2"/>
      </rPr>
      <t xml:space="preserve"> from IM                       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$35 Credit</t>
    </r>
    <r>
      <rPr>
        <sz val="10"/>
        <rFont val="Arial"/>
        <family val="2"/>
      </rPr>
      <t xml:space="preserve"> to ST</t>
    </r>
  </si>
  <si>
    <t>75.00</t>
  </si>
  <si>
    <t>20.00</t>
  </si>
  <si>
    <t>C:\Users\Touseef.Tamboli\Desktop\BatchExecution\Cycle1_May15\EMV_Cycle1\EMV_Cycle1__168.docx</t>
  </si>
  <si>
    <t>[1]95_009 PreAuth Last Compl Ind 1</t>
  </si>
  <si>
    <t>4027081000000035</t>
  </si>
  <si>
    <t>$20 debit</t>
  </si>
  <si>
    <t>C:\Users\Touseef.Tamboli\Desktop\BatchExecution\Cycle1_May15\EMV_Cycle1\EMV_Cycle1__170.docx</t>
  </si>
  <si>
    <t>[1]96_009 PreAuth Last Compl Ind 2</t>
  </si>
  <si>
    <t>49895795</t>
  </si>
  <si>
    <r>
      <rPr>
        <sz val="11"/>
        <color rgb="FFFF0000"/>
        <rFont val="Calibri"/>
        <family val="2"/>
        <scheme val="minor"/>
      </rPr>
      <t>$10 Debit</t>
    </r>
    <r>
      <rPr>
        <sz val="10"/>
        <rFont val="Arial"/>
        <family val="2"/>
      </rPr>
      <t xml:space="preserve"> from ST                                                                                                                </t>
    </r>
    <r>
      <rPr>
        <sz val="11"/>
        <color rgb="FF0070C0"/>
        <rFont val="Calibri"/>
        <family val="2"/>
        <scheme val="minor"/>
      </rPr>
      <t>$10 Credit</t>
    </r>
    <r>
      <rPr>
        <sz val="10"/>
        <rFont val="Arial"/>
        <family val="2"/>
      </rPr>
      <t xml:space="preserve"> to IM</t>
    </r>
  </si>
  <si>
    <t>C:\Users\Touseef.Tamboli\Desktop\BatchExecution\Cycle1_May15\EMV_Cycle1\EMV_Cycle1__171.docx</t>
  </si>
  <si>
    <t>[1]97_009 PreAuth Last Compl Ind 3</t>
  </si>
  <si>
    <t>15.00</t>
  </si>
  <si>
    <t>22.78</t>
  </si>
  <si>
    <t>C:\Users\Touseef.Tamboli\Desktop\BatchExecution\Cycle1_May15\EMV_Cycle1\EMV_Cycle1__172.docx</t>
  </si>
  <si>
    <t>3535.00</t>
  </si>
  <si>
    <t>C:\Users\Touseef.Tamboli\Desktop\BatchExecution\Cycle1_May15\EMV_Cycle1\EMV_Cycle1__174.docx</t>
  </si>
  <si>
    <t>C:\ExcelPlugIn\Screenshots\Test9_3.docx</t>
  </si>
  <si>
    <t>[1]142_030 POS Return and Reversal -SMS</t>
  </si>
  <si>
    <t>29 SMS POS Return in STDN</t>
  </si>
  <si>
    <t>0007</t>
  </si>
  <si>
    <t>PC CC</t>
  </si>
  <si>
    <t>$35 credit</t>
  </si>
  <si>
    <t>0.00</t>
  </si>
  <si>
    <t>288.24</t>
  </si>
  <si>
    <t>C:\Users\Touseef.Tamboli\Desktop\BatchExecution\Cycle1_May15\EMV_Cycle2\EMV_Cycle2\Cycle2_133.docx</t>
  </si>
  <si>
    <t>Autoclose Date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</si>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</sst>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;@"/>
    <numFmt numFmtId="165" formatCode="#.00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5" fillId="0" borderId="0" applyFill="0">
      <alignment vertical="top" wrapText="1"/>
    </xf>
    <xf numFmtId="0" fontId="6" fillId="0" borderId="0"/>
    <xf numFmtId="0" fontId="1" fillId="0" borderId="0"/>
  </cellStyleXfs>
  <cellXfs count="69">
    <xf numFmtId="0" fontId="0" fillId="0" borderId="0" xfId="0"/>
    <xf numFmtId="0" fontId="3" fillId="0" borderId="1" xfId="2" applyNumberFormat="1" applyFill="1" applyBorder="1" applyAlignment="1">
      <alignment wrapText="1"/>
    </xf>
    <xf numFmtId="0" fontId="3" fillId="0" borderId="1" xfId="2" quotePrefix="1" applyNumberFormat="1" applyFill="1" applyBorder="1"/>
    <xf numFmtId="0" fontId="3" fillId="0" borderId="1" xfId="2" quotePrefix="1" applyNumberFormat="1" applyFill="1" applyBorder="1" applyAlignment="1">
      <alignment wrapText="1"/>
    </xf>
    <xf numFmtId="49" fontId="4" fillId="0" borderId="1" xfId="4" quotePrefix="1" applyNumberFormat="1" applyFont="1" applyFill="1" applyBorder="1"/>
    <xf numFmtId="0" fontId="0" fillId="0" borderId="1" xfId="0" applyFill="1" applyBorder="1"/>
    <xf numFmtId="49" fontId="7" fillId="0" borderId="1" xfId="3" quotePrefix="1" applyNumberFormat="1" applyFont="1" applyFill="1" applyBorder="1" applyAlignment="1" applyProtection="1">
      <alignment horizontal="left" vertical="center" wrapText="1"/>
      <protection locked="0"/>
    </xf>
    <xf numFmtId="0" fontId="0" fillId="5" borderId="1" xfId="0" applyFill="1" applyBorder="1" applyAlignment="1">
      <alignment wrapText="1"/>
    </xf>
    <xf numFmtId="49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left"/>
    </xf>
    <xf numFmtId="16" fontId="0" fillId="0" borderId="1" xfId="0" applyNumberFormat="1" applyBorder="1"/>
    <xf numFmtId="0" fontId="0" fillId="0" borderId="1" xfId="0" quotePrefix="1" applyBorder="1" applyAlignment="1">
      <alignment wrapText="1"/>
    </xf>
    <xf numFmtId="16" fontId="0" fillId="0" borderId="1" xfId="0" applyNumberFormat="1" applyBorder="1" applyAlignment="1">
      <alignment wrapText="1"/>
    </xf>
    <xf numFmtId="0" fontId="9" fillId="2" borderId="1" xfId="1" applyNumberFormat="1" applyFont="1" applyBorder="1" applyAlignment="1">
      <alignment wrapText="1"/>
    </xf>
    <xf numFmtId="0" fontId="9" fillId="2" borderId="1" xfId="1" applyNumberFormat="1" applyFont="1" applyBorder="1"/>
    <xf numFmtId="0" fontId="9" fillId="4" borderId="1" xfId="1" applyNumberFormat="1" applyFont="1" applyFill="1" applyBorder="1" applyAlignment="1">
      <alignment horizontal="center"/>
    </xf>
    <xf numFmtId="0" fontId="9" fillId="4" borderId="1" xfId="1" applyNumberFormat="1" applyFont="1" applyFill="1" applyBorder="1"/>
    <xf numFmtId="0" fontId="9" fillId="4" borderId="1" xfId="1" applyNumberFormat="1" applyFont="1" applyFill="1" applyBorder="1" applyAlignment="1">
      <alignment wrapText="1"/>
    </xf>
    <xf numFmtId="49" fontId="9" fillId="4" borderId="1" xfId="1" applyNumberFormat="1" applyFont="1" applyFill="1" applyBorder="1"/>
    <xf numFmtId="0" fontId="9" fillId="4" borderId="2" xfId="1" applyNumberFormat="1" applyFont="1" applyFill="1" applyBorder="1"/>
    <xf numFmtId="49" fontId="0" fillId="0" borderId="1" xfId="0" applyNumberFormat="1" applyFont="1" applyBorder="1"/>
    <xf numFmtId="49" fontId="7" fillId="0" borderId="1" xfId="3" applyNumberFormat="1" applyFont="1" applyFill="1" applyBorder="1" applyAlignment="1" applyProtection="1">
      <alignment horizontal="center" vertical="center" wrapText="1"/>
      <protection locked="0"/>
    </xf>
    <xf numFmtId="49" fontId="7" fillId="0" borderId="1" xfId="3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/>
    <xf numFmtId="2" fontId="0" fillId="0" borderId="1" xfId="0" applyNumberFormat="1" applyFont="1" applyFill="1" applyBorder="1"/>
    <xf numFmtId="164" fontId="0" fillId="0" borderId="1" xfId="0" applyNumberFormat="1" applyFont="1" applyBorder="1" applyAlignment="1">
      <alignment horizontal="left"/>
    </xf>
    <xf numFmtId="0" fontId="0" fillId="0" borderId="1" xfId="0" applyFont="1" applyBorder="1"/>
    <xf numFmtId="49" fontId="7" fillId="0" borderId="1" xfId="3" applyNumberFormat="1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165" fontId="0" fillId="0" borderId="1" xfId="0" applyNumberFormat="1" applyFont="1" applyFill="1" applyBorder="1"/>
    <xf numFmtId="49" fontId="7" fillId="0" borderId="1" xfId="3" applyNumberFormat="1" applyFont="1" applyFill="1" applyBorder="1" applyAlignment="1" applyProtection="1">
      <alignment horizontal="left" wrapText="1"/>
      <protection locked="0"/>
    </xf>
    <xf numFmtId="49" fontId="7" fillId="0" borderId="1" xfId="3" quotePrefix="1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quotePrefix="1" applyBorder="1"/>
    <xf numFmtId="0" fontId="0" fillId="0" borderId="1" xfId="0" applyBorder="1" applyAlignment="1">
      <alignment vertical="top" wrapText="1"/>
    </xf>
    <xf numFmtId="49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2" fontId="0" fillId="0" borderId="1" xfId="0" applyNumberFormat="1" applyFont="1" applyFill="1" applyBorder="1" applyAlignment="1">
      <alignment wrapText="1"/>
    </xf>
    <xf numFmtId="2" fontId="0" fillId="0" borderId="2" xfId="0" applyNumberFormat="1" applyFont="1" applyFill="1" applyBorder="1"/>
    <xf numFmtId="0" fontId="0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 vertical="top" wrapText="1"/>
    </xf>
    <xf numFmtId="0" fontId="0" fillId="0" borderId="1" xfId="0" quotePrefix="1" applyFont="1" applyBorder="1" applyAlignment="1">
      <alignment horizontal="left" wrapText="1"/>
    </xf>
    <xf numFmtId="164" fontId="0" fillId="0" borderId="1" xfId="0" applyNumberFormat="1" applyFont="1" applyBorder="1" applyAlignment="1">
      <alignment horizontal="left" wrapText="1"/>
    </xf>
    <xf numFmtId="0" fontId="0" fillId="0" borderId="1" xfId="0" quotePrefix="1" applyFill="1" applyBorder="1" applyAlignment="1">
      <alignment wrapText="1"/>
    </xf>
    <xf numFmtId="49" fontId="0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left"/>
    </xf>
    <xf numFmtId="0" fontId="0" fillId="0" borderId="1" xfId="0" quotePrefix="1" applyFont="1" applyFill="1" applyBorder="1" applyAlignment="1">
      <alignment horizontal="left" wrapText="1"/>
    </xf>
    <xf numFmtId="49" fontId="12" fillId="0" borderId="1" xfId="3" quotePrefix="1" applyNumberFormat="1" applyFont="1" applyFill="1" applyBorder="1" applyAlignment="1" applyProtection="1">
      <alignment horizontal="left" vertical="center" wrapText="1"/>
      <protection locked="0"/>
    </xf>
    <xf numFmtId="164" fontId="0" fillId="0" borderId="1" xfId="0" applyNumberFormat="1" applyFont="1" applyFill="1" applyBorder="1" applyAlignment="1">
      <alignment horizontal="left"/>
    </xf>
    <xf numFmtId="0" fontId="0" fillId="0" borderId="1" xfId="0" quotePrefix="1" applyFill="1" applyBorder="1"/>
    <xf numFmtId="16" fontId="0" fillId="0" borderId="1" xfId="0" applyNumberFormat="1" applyFill="1" applyBorder="1"/>
    <xf numFmtId="0" fontId="0" fillId="0" borderId="1" xfId="0" applyFill="1" applyBorder="1" applyAlignment="1">
      <alignment vertical="top" wrapText="1"/>
    </xf>
    <xf numFmtId="0" fontId="0" fillId="0" borderId="1" xfId="0" applyFont="1" applyFill="1" applyBorder="1" applyAlignment="1">
      <alignment horizontal="left"/>
    </xf>
    <xf numFmtId="0" fontId="10" fillId="0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wrapText="1"/>
    </xf>
    <xf numFmtId="2" fontId="0" fillId="0" borderId="1" xfId="0" applyNumberFormat="1" applyBorder="1" applyAlignment="1">
      <alignment horizontal="left"/>
    </xf>
    <xf numFmtId="2" fontId="0" fillId="0" borderId="1" xfId="0" applyNumberFormat="1" applyFont="1" applyFill="1" applyBorder="1" applyAlignment="1">
      <alignment horizontal="right"/>
    </xf>
    <xf numFmtId="165" fontId="0" fillId="0" borderId="1" xfId="0" applyNumberFormat="1" applyFont="1" applyFill="1" applyBorder="1" applyAlignment="1">
      <alignment horizontal="right"/>
    </xf>
    <xf numFmtId="49" fontId="0" fillId="0" borderId="1" xfId="0" applyNumberFormat="1" applyBorder="1" applyAlignment="1">
      <alignment horizontal="center" vertical="center"/>
    </xf>
    <xf numFmtId="0" fontId="0" fillId="6" borderId="1" xfId="0" applyFont="1" applyFill="1" applyBorder="1"/>
    <xf numFmtId="0" fontId="11" fillId="0" borderId="1" xfId="0" applyFont="1" applyBorder="1" applyAlignment="1">
      <alignment horizontal="left" vertical="top" wrapText="1"/>
    </xf>
    <xf numFmtId="0" fontId="3" fillId="0" borderId="1" xfId="2" quotePrefix="1" applyNumberFormat="1" applyFill="1" applyBorder="1" applyAlignment="1">
      <alignment horizontal="left" vertical="top" wrapText="1"/>
    </xf>
    <xf numFmtId="0" fontId="0" fillId="0" borderId="1" xfId="0" quotePrefix="1" applyBorder="1" applyAlignment="1">
      <alignment horizontal="left" vertical="top" wrapText="1"/>
    </xf>
    <xf numFmtId="49" fontId="0" fillId="0" borderId="1" xfId="0" applyNumberFormat="1" applyFont="1" applyBorder="1" applyAlignment="1">
      <alignment horizontal="left" vertical="top"/>
    </xf>
    <xf numFmtId="0" fontId="3" fillId="0" borderId="1" xfId="2" applyNumberFormat="1" applyFill="1" applyBorder="1" applyAlignment="1">
      <alignment horizontal="left" vertical="top" wrapText="1"/>
    </xf>
    <xf numFmtId="0" fontId="3" fillId="0" borderId="1" xfId="2" quotePrefix="1" applyNumberFormat="1" applyFill="1" applyBorder="1" applyAlignment="1">
      <alignment horizontal="left" vertical="top"/>
    </xf>
    <xf numFmtId="0" fontId="0" fillId="0" borderId="0" xfId="0" applyAlignment="1">
      <alignment horizontal="left" vertical="top"/>
    </xf>
  </cellXfs>
  <cellStyles count="6">
    <cellStyle name="60% - Accent1" xfId="1" builtinId="32"/>
    <cellStyle name="Good" xfId="2" builtinId="26"/>
    <cellStyle name="Normal" xfId="0" builtinId="0"/>
    <cellStyle name="Normal 10" xfId="5"/>
    <cellStyle name="Normal 2" xfId="3"/>
    <cellStyle name="Normal 3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6"/>
  <sheetViews>
    <sheetView tabSelected="1" topLeftCell="C1" zoomScaleNormal="100" workbookViewId="0">
      <selection activeCell="H4" sqref="H4"/>
    </sheetView>
  </sheetViews>
  <sheetFormatPr defaultRowHeight="12.75" x14ac:dyDescent="0.2"/>
  <cols>
    <col min="1" max="1" width="5.85546875" bestFit="1" customWidth="1"/>
    <col min="2" max="2" width="39.5703125" bestFit="1" customWidth="1"/>
    <col min="3" max="3" width="46" bestFit="1" customWidth="1"/>
    <col min="4" max="4" width="4.85546875" bestFit="1" customWidth="1"/>
    <col min="5" max="5" width="17.85546875" bestFit="1" customWidth="1"/>
    <col min="6" max="6" width="6.28515625" bestFit="1" customWidth="1"/>
    <col min="7" max="7" width="19.28515625" bestFit="1" customWidth="1"/>
    <col min="8" max="8" width="10.140625" bestFit="1" customWidth="1"/>
    <col min="9" max="9" width="7.7109375" bestFit="1" customWidth="1"/>
    <col min="10" max="10" width="12.85546875" bestFit="1" customWidth="1"/>
    <col min="11" max="11" width="16" bestFit="1" customWidth="1"/>
    <col min="12" max="12" width="14.7109375" bestFit="1" customWidth="1"/>
    <col min="13" max="13" width="19" bestFit="1" customWidth="1"/>
    <col min="14" max="14" width="7.7109375" customWidth="1"/>
    <col min="15" max="15" width="15.85546875" bestFit="1" customWidth="1"/>
    <col min="16" max="16" width="16.140625" bestFit="1" customWidth="1"/>
    <col min="17" max="17" width="16" bestFit="1" customWidth="1"/>
    <col min="18" max="18" width="9.85546875" customWidth="1"/>
    <col min="19" max="19" width="9.42578125" bestFit="1" customWidth="1"/>
    <col min="20" max="20" width="28.5703125" style="31" customWidth="1"/>
    <col min="21" max="21" width="16.7109375" bestFit="1" customWidth="1"/>
    <col min="22" max="22" width="17.7109375" bestFit="1" customWidth="1"/>
    <col min="23" max="23" width="18" bestFit="1" customWidth="1"/>
    <col min="24" max="24" width="41" bestFit="1" customWidth="1"/>
    <col min="25" max="25" width="18.28515625" bestFit="1" customWidth="1"/>
    <col min="26" max="26" width="19.140625" bestFit="1" customWidth="1"/>
  </cols>
  <sheetData>
    <row r="1" spans="1:26" ht="30" x14ac:dyDescent="0.25">
      <c r="A1" s="15" t="s">
        <v>24</v>
      </c>
      <c r="B1" s="15" t="s">
        <v>3</v>
      </c>
      <c r="C1" s="16" t="s">
        <v>0</v>
      </c>
      <c r="D1" s="15" t="s">
        <v>2</v>
      </c>
      <c r="E1" s="15" t="s">
        <v>1</v>
      </c>
      <c r="F1" s="17" t="s">
        <v>4</v>
      </c>
      <c r="G1" s="18" t="s">
        <v>6</v>
      </c>
      <c r="H1" s="18" t="s">
        <v>9</v>
      </c>
      <c r="I1" s="19" t="s">
        <v>10</v>
      </c>
      <c r="J1" s="18" t="s">
        <v>7</v>
      </c>
      <c r="K1" s="18" t="s">
        <v>5</v>
      </c>
      <c r="L1" s="19" t="s">
        <v>15</v>
      </c>
      <c r="M1" s="18" t="s">
        <v>8</v>
      </c>
      <c r="N1" s="18" t="s">
        <v>12</v>
      </c>
      <c r="O1" s="18" t="s">
        <v>13</v>
      </c>
      <c r="P1" s="20" t="s">
        <v>14</v>
      </c>
      <c r="Q1" s="18" t="s">
        <v>11</v>
      </c>
      <c r="R1" s="18" t="s">
        <v>32</v>
      </c>
      <c r="S1" s="18" t="s">
        <v>26</v>
      </c>
      <c r="T1" s="19" t="s">
        <v>33</v>
      </c>
      <c r="U1" s="19" t="s">
        <v>20</v>
      </c>
      <c r="V1" s="18" t="s">
        <v>19</v>
      </c>
      <c r="W1" s="21" t="s">
        <v>34</v>
      </c>
      <c r="X1" s="18" t="s">
        <v>25</v>
      </c>
      <c r="Y1" s="18" t="s">
        <v>27</v>
      </c>
      <c r="Z1" s="18" t="s">
        <v>28</v>
      </c>
    </row>
    <row r="2" spans="1:26" ht="30" x14ac:dyDescent="0.25">
      <c r="A2" s="3">
        <v>1</v>
      </c>
      <c r="B2" s="13" t="s">
        <v>35</v>
      </c>
      <c r="C2" s="22" t="s">
        <v>36</v>
      </c>
      <c r="D2" s="1" t="s">
        <v>37</v>
      </c>
      <c r="E2" s="1" t="s">
        <v>38</v>
      </c>
      <c r="F2" s="23" t="s">
        <v>17</v>
      </c>
      <c r="G2" s="24" t="s">
        <v>39</v>
      </c>
      <c r="H2" s="3"/>
      <c r="I2" s="2"/>
      <c r="J2" s="54" t="s">
        <v>16</v>
      </c>
      <c r="K2" s="23" t="s">
        <v>40</v>
      </c>
      <c r="L2" s="6" t="s">
        <v>21</v>
      </c>
      <c r="M2" s="26">
        <v>60</v>
      </c>
      <c r="N2" s="24" t="s">
        <v>22</v>
      </c>
      <c r="O2" s="27">
        <v>42856</v>
      </c>
      <c r="P2" s="28">
        <v>1024</v>
      </c>
      <c r="Q2" s="4"/>
      <c r="R2" s="26">
        <v>2</v>
      </c>
      <c r="S2" s="12">
        <v>43061</v>
      </c>
      <c r="T2" s="29" t="s">
        <v>41</v>
      </c>
      <c r="U2" s="32">
        <v>4460.3999999999996</v>
      </c>
      <c r="V2" s="32">
        <v>4460.3999999999996</v>
      </c>
      <c r="W2" s="26">
        <f>U2-V2</f>
        <v>0</v>
      </c>
      <c r="X2" s="9" t="s">
        <v>51</v>
      </c>
      <c r="Y2" s="9"/>
      <c r="Z2" s="9"/>
    </row>
    <row r="3" spans="1:26" ht="30" x14ac:dyDescent="0.25">
      <c r="A3" s="3">
        <v>2</v>
      </c>
      <c r="B3" s="7" t="s">
        <v>42</v>
      </c>
      <c r="C3" s="22" t="s">
        <v>43</v>
      </c>
      <c r="D3" s="1" t="s">
        <v>37</v>
      </c>
      <c r="E3" s="1" t="s">
        <v>38</v>
      </c>
      <c r="F3" s="23" t="s">
        <v>17</v>
      </c>
      <c r="G3" s="24" t="s">
        <v>39</v>
      </c>
      <c r="H3" s="3"/>
      <c r="I3" s="2"/>
      <c r="J3" s="54" t="s">
        <v>16</v>
      </c>
      <c r="K3" s="23" t="s">
        <v>40</v>
      </c>
      <c r="L3" s="6" t="s">
        <v>21</v>
      </c>
      <c r="M3" s="26">
        <v>26</v>
      </c>
      <c r="N3" s="24" t="s">
        <v>22</v>
      </c>
      <c r="O3" s="27">
        <v>42856</v>
      </c>
      <c r="P3" s="28">
        <v>1025</v>
      </c>
      <c r="Q3" s="4"/>
      <c r="R3" s="26">
        <v>2</v>
      </c>
      <c r="S3" s="12">
        <v>43061</v>
      </c>
      <c r="T3" s="30" t="s">
        <v>44</v>
      </c>
      <c r="U3" s="32">
        <v>4460.3999999999996</v>
      </c>
      <c r="V3" s="32">
        <v>4460.3999999999996</v>
      </c>
      <c r="W3" s="26">
        <f t="shared" ref="W3:W4" si="0">U3-V3</f>
        <v>0</v>
      </c>
      <c r="X3" s="9" t="s">
        <v>52</v>
      </c>
      <c r="Y3" s="9" t="s">
        <v>54</v>
      </c>
      <c r="Z3" s="9"/>
    </row>
    <row r="4" spans="1:26" ht="30" x14ac:dyDescent="0.25">
      <c r="A4" s="3">
        <v>3</v>
      </c>
      <c r="B4" s="13" t="s">
        <v>45</v>
      </c>
      <c r="C4" s="22" t="s">
        <v>46</v>
      </c>
      <c r="D4" s="1" t="s">
        <v>37</v>
      </c>
      <c r="E4" s="1" t="s">
        <v>29</v>
      </c>
      <c r="F4" s="23" t="s">
        <v>17</v>
      </c>
      <c r="G4" s="24" t="s">
        <v>39</v>
      </c>
      <c r="H4" s="3"/>
      <c r="I4" s="2"/>
      <c r="J4" s="54" t="s">
        <v>30</v>
      </c>
      <c r="K4" s="23" t="s">
        <v>47</v>
      </c>
      <c r="L4" s="6" t="s">
        <v>31</v>
      </c>
      <c r="M4" s="26">
        <v>36</v>
      </c>
      <c r="N4" s="24" t="s">
        <v>22</v>
      </c>
      <c r="O4" s="27">
        <v>42856</v>
      </c>
      <c r="P4" s="28">
        <v>1027</v>
      </c>
      <c r="Q4" s="4"/>
      <c r="R4" s="26">
        <v>2</v>
      </c>
      <c r="S4" s="14">
        <v>43061</v>
      </c>
      <c r="T4" s="30" t="s">
        <v>48</v>
      </c>
      <c r="U4" s="32">
        <v>821</v>
      </c>
      <c r="V4" s="32">
        <v>821</v>
      </c>
      <c r="W4" s="26">
        <f t="shared" si="0"/>
        <v>0</v>
      </c>
      <c r="X4" s="9" t="s">
        <v>53</v>
      </c>
      <c r="Y4" s="9" t="s">
        <v>55</v>
      </c>
      <c r="Z4" s="9"/>
    </row>
    <row r="5" spans="1:26" ht="15" x14ac:dyDescent="0.25">
      <c r="A5" s="3">
        <v>4</v>
      </c>
      <c r="B5" s="13" t="s">
        <v>56</v>
      </c>
      <c r="C5" s="5" t="s">
        <v>56</v>
      </c>
      <c r="D5" s="1" t="s">
        <v>37</v>
      </c>
      <c r="E5" s="1" t="s">
        <v>38</v>
      </c>
      <c r="F5" s="60" t="s">
        <v>18</v>
      </c>
      <c r="G5" s="8" t="s">
        <v>23</v>
      </c>
      <c r="H5" s="3"/>
      <c r="I5" s="2"/>
      <c r="J5" s="57" t="s">
        <v>16</v>
      </c>
      <c r="K5" s="9">
        <v>1000500</v>
      </c>
      <c r="L5" s="6" t="s">
        <v>21</v>
      </c>
      <c r="M5" s="10">
        <v>16</v>
      </c>
      <c r="N5" s="24" t="s">
        <v>57</v>
      </c>
      <c r="O5" s="11">
        <v>42795</v>
      </c>
      <c r="P5" s="28">
        <v>921</v>
      </c>
      <c r="Q5" s="13" t="s">
        <v>63</v>
      </c>
      <c r="R5" s="39">
        <v>2</v>
      </c>
      <c r="S5" s="12">
        <v>43057</v>
      </c>
      <c r="T5" s="12"/>
      <c r="U5" s="12"/>
      <c r="V5" s="9"/>
      <c r="W5" s="9"/>
      <c r="X5" s="9"/>
      <c r="Y5" s="9"/>
      <c r="Z5" s="9"/>
    </row>
    <row r="6" spans="1:26" ht="45" x14ac:dyDescent="0.25">
      <c r="A6" s="3">
        <v>5</v>
      </c>
      <c r="B6" s="7" t="s">
        <v>58</v>
      </c>
      <c r="C6" s="22" t="s">
        <v>59</v>
      </c>
      <c r="D6" s="1" t="s">
        <v>37</v>
      </c>
      <c r="E6" s="1" t="s">
        <v>38</v>
      </c>
      <c r="F6" s="23" t="s">
        <v>17</v>
      </c>
      <c r="G6" s="33" t="s">
        <v>60</v>
      </c>
      <c r="H6" s="9"/>
      <c r="I6" s="9"/>
      <c r="J6" s="41" t="s">
        <v>30</v>
      </c>
      <c r="K6" s="34" t="s">
        <v>61</v>
      </c>
      <c r="L6" s="6" t="s">
        <v>31</v>
      </c>
      <c r="M6" s="39">
        <v>27</v>
      </c>
      <c r="N6" s="24" t="s">
        <v>62</v>
      </c>
      <c r="O6" s="27">
        <v>42857</v>
      </c>
      <c r="P6" s="25">
        <v>1110</v>
      </c>
      <c r="R6" s="40">
        <v>2</v>
      </c>
      <c r="S6" s="12">
        <v>43061</v>
      </c>
      <c r="T6" s="36" t="s">
        <v>64</v>
      </c>
      <c r="U6" s="58" t="s">
        <v>49</v>
      </c>
      <c r="V6" s="58" t="s">
        <v>50</v>
      </c>
      <c r="W6" s="26">
        <f>SUM(U6-V6)</f>
        <v>109</v>
      </c>
      <c r="X6" s="9" t="s">
        <v>72</v>
      </c>
      <c r="Y6" s="9"/>
      <c r="Z6" s="9"/>
    </row>
    <row r="7" spans="1:26" ht="30" x14ac:dyDescent="0.25">
      <c r="A7" s="3">
        <v>6</v>
      </c>
      <c r="B7" s="7" t="s">
        <v>65</v>
      </c>
      <c r="C7" s="22" t="s">
        <v>66</v>
      </c>
      <c r="D7" s="1" t="s">
        <v>37</v>
      </c>
      <c r="E7" s="1" t="s">
        <v>29</v>
      </c>
      <c r="F7" s="23" t="s">
        <v>18</v>
      </c>
      <c r="G7" s="37" t="s">
        <v>67</v>
      </c>
      <c r="H7" s="9"/>
      <c r="I7" s="9"/>
      <c r="J7" s="54" t="s">
        <v>16</v>
      </c>
      <c r="K7" s="38">
        <v>49896392</v>
      </c>
      <c r="L7" s="6" t="s">
        <v>21</v>
      </c>
      <c r="M7" s="26">
        <v>32.22</v>
      </c>
      <c r="N7" s="24" t="s">
        <v>22</v>
      </c>
      <c r="O7" s="27">
        <v>42864</v>
      </c>
      <c r="P7" s="25">
        <v>1209</v>
      </c>
      <c r="Q7" s="35" t="s">
        <v>68</v>
      </c>
      <c r="R7" s="26"/>
      <c r="S7" s="12">
        <v>43061</v>
      </c>
      <c r="T7" s="36" t="s">
        <v>69</v>
      </c>
      <c r="U7" s="59">
        <v>2587.2199999999998</v>
      </c>
      <c r="V7" s="58" t="s">
        <v>70</v>
      </c>
      <c r="W7" s="26">
        <f>SUM(U7-V7)</f>
        <v>0</v>
      </c>
      <c r="X7" s="9" t="s">
        <v>71</v>
      </c>
      <c r="Y7" s="9"/>
      <c r="Z7" s="9"/>
    </row>
    <row r="8" spans="1:26" ht="30" x14ac:dyDescent="0.25">
      <c r="A8" s="3">
        <v>7</v>
      </c>
      <c r="B8" s="13" t="s">
        <v>45</v>
      </c>
      <c r="C8" s="22" t="s">
        <v>46</v>
      </c>
      <c r="D8" s="1" t="s">
        <v>37</v>
      </c>
      <c r="E8" s="1" t="s">
        <v>29</v>
      </c>
      <c r="F8" s="23" t="s">
        <v>17</v>
      </c>
      <c r="G8" s="24" t="s">
        <v>39</v>
      </c>
      <c r="H8" s="3"/>
      <c r="I8" s="2"/>
      <c r="J8" s="54" t="s">
        <v>30</v>
      </c>
      <c r="K8" s="23" t="s">
        <v>47</v>
      </c>
      <c r="L8" s="6" t="s">
        <v>31</v>
      </c>
      <c r="M8" s="26">
        <v>36</v>
      </c>
      <c r="N8" s="24" t="s">
        <v>22</v>
      </c>
      <c r="O8" s="44">
        <v>42856</v>
      </c>
      <c r="P8" s="28">
        <v>1027</v>
      </c>
      <c r="Q8" s="4"/>
      <c r="R8" s="26">
        <v>2</v>
      </c>
      <c r="S8" s="12">
        <v>43061</v>
      </c>
      <c r="T8" s="30" t="s">
        <v>48</v>
      </c>
      <c r="U8" s="58" t="s">
        <v>49</v>
      </c>
      <c r="V8" s="58" t="s">
        <v>50</v>
      </c>
      <c r="W8" s="26">
        <v>109</v>
      </c>
      <c r="X8" s="9" t="s">
        <v>130</v>
      </c>
      <c r="Y8" s="9"/>
      <c r="Z8" s="9"/>
    </row>
    <row r="9" spans="1:26" ht="45" x14ac:dyDescent="0.25">
      <c r="A9" s="3">
        <v>8</v>
      </c>
      <c r="B9" s="7" t="s">
        <v>58</v>
      </c>
      <c r="C9" s="22" t="s">
        <v>59</v>
      </c>
      <c r="D9" s="1" t="s">
        <v>37</v>
      </c>
      <c r="E9" s="1" t="s">
        <v>38</v>
      </c>
      <c r="F9" s="23" t="s">
        <v>17</v>
      </c>
      <c r="G9" s="33" t="s">
        <v>60</v>
      </c>
      <c r="H9" s="9"/>
      <c r="I9" s="9"/>
      <c r="J9" s="41" t="s">
        <v>30</v>
      </c>
      <c r="K9" s="34" t="s">
        <v>61</v>
      </c>
      <c r="L9" s="6" t="s">
        <v>31</v>
      </c>
      <c r="M9" s="26">
        <v>27</v>
      </c>
      <c r="N9" s="24" t="s">
        <v>62</v>
      </c>
      <c r="O9" s="27">
        <v>42857</v>
      </c>
      <c r="P9" s="25">
        <v>1110</v>
      </c>
      <c r="Q9" s="35" t="s">
        <v>63</v>
      </c>
      <c r="R9" s="26">
        <v>2</v>
      </c>
      <c r="S9" s="12">
        <v>43061</v>
      </c>
      <c r="T9" s="36" t="s">
        <v>64</v>
      </c>
      <c r="U9" s="58" t="s">
        <v>49</v>
      </c>
      <c r="V9" s="58" t="s">
        <v>50</v>
      </c>
      <c r="W9" s="26">
        <v>109</v>
      </c>
      <c r="X9" s="9" t="s">
        <v>74</v>
      </c>
      <c r="Y9" s="9"/>
      <c r="Z9" s="9"/>
    </row>
    <row r="10" spans="1:26" ht="15" x14ac:dyDescent="0.25">
      <c r="A10" s="3">
        <v>9</v>
      </c>
      <c r="B10" s="13" t="s">
        <v>75</v>
      </c>
      <c r="C10" s="22" t="s">
        <v>76</v>
      </c>
      <c r="D10" s="1" t="s">
        <v>37</v>
      </c>
      <c r="E10" s="1" t="s">
        <v>38</v>
      </c>
      <c r="F10" s="23" t="s">
        <v>77</v>
      </c>
      <c r="G10" s="37" t="s">
        <v>78</v>
      </c>
      <c r="H10" s="9"/>
      <c r="I10" s="9"/>
      <c r="J10" s="54" t="s">
        <v>30</v>
      </c>
      <c r="K10" s="41">
        <v>10808741</v>
      </c>
      <c r="L10" s="6" t="s">
        <v>31</v>
      </c>
      <c r="M10" s="26">
        <v>40</v>
      </c>
      <c r="N10" s="24" t="s">
        <v>22</v>
      </c>
      <c r="O10" s="27">
        <v>42864</v>
      </c>
      <c r="P10" s="25">
        <v>1137</v>
      </c>
      <c r="Q10" s="9"/>
      <c r="R10" s="26"/>
      <c r="S10" s="12">
        <v>43061</v>
      </c>
      <c r="T10" s="42" t="s">
        <v>79</v>
      </c>
      <c r="U10" s="58" t="s">
        <v>80</v>
      </c>
      <c r="V10" s="58" t="s">
        <v>81</v>
      </c>
      <c r="W10" s="26">
        <v>30</v>
      </c>
      <c r="X10" s="9" t="s">
        <v>82</v>
      </c>
      <c r="Y10" s="9"/>
      <c r="Z10" s="9"/>
    </row>
    <row r="11" spans="1:26" ht="30" x14ac:dyDescent="0.25">
      <c r="A11" s="3">
        <v>10</v>
      </c>
      <c r="B11" s="7" t="s">
        <v>83</v>
      </c>
      <c r="C11" s="22" t="s">
        <v>66</v>
      </c>
      <c r="D11" s="1" t="s">
        <v>37</v>
      </c>
      <c r="E11" s="1" t="s">
        <v>38</v>
      </c>
      <c r="F11" s="23" t="s">
        <v>77</v>
      </c>
      <c r="G11" s="37" t="s">
        <v>78</v>
      </c>
      <c r="H11" s="9"/>
      <c r="I11" s="9"/>
      <c r="J11" s="54" t="s">
        <v>16</v>
      </c>
      <c r="K11" s="43" t="s">
        <v>84</v>
      </c>
      <c r="L11" s="6" t="s">
        <v>21</v>
      </c>
      <c r="M11" s="26">
        <v>10</v>
      </c>
      <c r="N11" s="24" t="s">
        <v>22</v>
      </c>
      <c r="O11" s="27">
        <v>42864</v>
      </c>
      <c r="P11" s="25">
        <v>1138</v>
      </c>
      <c r="Q11" s="35" t="s">
        <v>85</v>
      </c>
      <c r="R11" s="26"/>
      <c r="S11" s="12">
        <v>43061</v>
      </c>
      <c r="T11" s="36" t="s">
        <v>86</v>
      </c>
      <c r="U11" s="58" t="s">
        <v>87</v>
      </c>
      <c r="V11" s="58" t="s">
        <v>88</v>
      </c>
      <c r="W11" s="26">
        <v>397.84999999999945</v>
      </c>
      <c r="X11" s="9" t="s">
        <v>89</v>
      </c>
      <c r="Y11" s="9"/>
      <c r="Z11" s="9"/>
    </row>
    <row r="12" spans="1:26" ht="15" x14ac:dyDescent="0.25">
      <c r="A12" s="3">
        <v>11</v>
      </c>
      <c r="B12" s="7" t="s">
        <v>90</v>
      </c>
      <c r="C12" s="22" t="s">
        <v>76</v>
      </c>
      <c r="D12" s="1" t="s">
        <v>37</v>
      </c>
      <c r="E12" s="1" t="s">
        <v>38</v>
      </c>
      <c r="F12" s="23" t="s">
        <v>91</v>
      </c>
      <c r="G12" s="37" t="s">
        <v>92</v>
      </c>
      <c r="H12" s="9"/>
      <c r="I12" s="9"/>
      <c r="J12" s="54" t="s">
        <v>30</v>
      </c>
      <c r="K12" s="41">
        <v>15248943</v>
      </c>
      <c r="L12" s="6" t="s">
        <v>31</v>
      </c>
      <c r="M12" s="26">
        <v>60</v>
      </c>
      <c r="N12" s="24" t="s">
        <v>22</v>
      </c>
      <c r="O12" s="27">
        <v>42864</v>
      </c>
      <c r="P12" s="25">
        <v>1145</v>
      </c>
      <c r="Q12" s="9"/>
      <c r="R12" s="26"/>
      <c r="S12" s="12">
        <v>43061</v>
      </c>
      <c r="T12" s="42" t="s">
        <v>93</v>
      </c>
      <c r="U12" s="58" t="s">
        <v>94</v>
      </c>
      <c r="V12" s="58" t="s">
        <v>95</v>
      </c>
      <c r="W12" s="26">
        <v>62</v>
      </c>
      <c r="X12" s="9" t="s">
        <v>96</v>
      </c>
      <c r="Y12" s="9"/>
      <c r="Z12" s="9"/>
    </row>
    <row r="13" spans="1:26" ht="30" x14ac:dyDescent="0.25">
      <c r="A13" s="3">
        <v>12</v>
      </c>
      <c r="B13" s="45" t="s">
        <v>97</v>
      </c>
      <c r="C13" s="46" t="s">
        <v>98</v>
      </c>
      <c r="D13" s="1" t="s">
        <v>37</v>
      </c>
      <c r="E13" s="1" t="s">
        <v>38</v>
      </c>
      <c r="F13" s="23" t="s">
        <v>91</v>
      </c>
      <c r="G13" s="47" t="s">
        <v>92</v>
      </c>
      <c r="H13" s="5"/>
      <c r="I13" s="5"/>
      <c r="J13" s="54" t="s">
        <v>30</v>
      </c>
      <c r="K13" s="48" t="s">
        <v>99</v>
      </c>
      <c r="L13" s="49" t="s">
        <v>31</v>
      </c>
      <c r="M13" s="26">
        <v>2</v>
      </c>
      <c r="N13" s="24" t="s">
        <v>62</v>
      </c>
      <c r="O13" s="50">
        <v>42864</v>
      </c>
      <c r="P13" s="25">
        <v>1146</v>
      </c>
      <c r="Q13" s="51" t="s">
        <v>100</v>
      </c>
      <c r="R13" s="26"/>
      <c r="S13" s="52">
        <v>43061</v>
      </c>
      <c r="T13" s="53" t="s">
        <v>101</v>
      </c>
      <c r="U13" s="58" t="s">
        <v>94</v>
      </c>
      <c r="V13" s="58" t="s">
        <v>95</v>
      </c>
      <c r="W13" s="26">
        <v>62</v>
      </c>
      <c r="X13" s="5" t="s">
        <v>102</v>
      </c>
      <c r="Y13" s="5"/>
      <c r="Z13" s="5"/>
    </row>
    <row r="14" spans="1:26" ht="15" x14ac:dyDescent="0.25">
      <c r="A14" s="3">
        <v>13</v>
      </c>
      <c r="B14" s="45" t="s">
        <v>103</v>
      </c>
      <c r="C14" s="46" t="s">
        <v>76</v>
      </c>
      <c r="D14" s="1" t="s">
        <v>37</v>
      </c>
      <c r="E14" s="1" t="s">
        <v>38</v>
      </c>
      <c r="F14" s="23" t="s">
        <v>104</v>
      </c>
      <c r="G14" s="47" t="s">
        <v>105</v>
      </c>
      <c r="H14" s="5"/>
      <c r="I14" s="5"/>
      <c r="J14" s="54" t="s">
        <v>30</v>
      </c>
      <c r="K14" s="54">
        <v>10808857</v>
      </c>
      <c r="L14" s="6" t="s">
        <v>31</v>
      </c>
      <c r="M14" s="26">
        <v>40</v>
      </c>
      <c r="N14" s="24" t="s">
        <v>22</v>
      </c>
      <c r="O14" s="50">
        <v>42864</v>
      </c>
      <c r="P14" s="25">
        <v>1156</v>
      </c>
      <c r="Q14" s="5"/>
      <c r="R14" s="26"/>
      <c r="S14" s="52">
        <v>43061</v>
      </c>
      <c r="T14" s="55" t="s">
        <v>79</v>
      </c>
      <c r="U14" s="58" t="s">
        <v>106</v>
      </c>
      <c r="V14" s="58" t="s">
        <v>107</v>
      </c>
      <c r="W14" s="26">
        <v>5</v>
      </c>
      <c r="X14" s="5" t="s">
        <v>108</v>
      </c>
      <c r="Y14" s="5"/>
      <c r="Z14" s="5"/>
    </row>
    <row r="15" spans="1:26" ht="30" x14ac:dyDescent="0.25">
      <c r="A15" s="3">
        <v>14</v>
      </c>
      <c r="B15" s="56" t="s">
        <v>109</v>
      </c>
      <c r="C15" s="46" t="s">
        <v>66</v>
      </c>
      <c r="D15" s="1" t="s">
        <v>37</v>
      </c>
      <c r="E15" s="1" t="s">
        <v>38</v>
      </c>
      <c r="F15" s="23" t="s">
        <v>104</v>
      </c>
      <c r="G15" s="47" t="s">
        <v>105</v>
      </c>
      <c r="H15" s="5"/>
      <c r="I15" s="5"/>
      <c r="J15" s="54" t="s">
        <v>16</v>
      </c>
      <c r="K15" s="48" t="s">
        <v>110</v>
      </c>
      <c r="L15" s="6" t="s">
        <v>21</v>
      </c>
      <c r="M15" s="26">
        <v>35</v>
      </c>
      <c r="N15" s="24" t="s">
        <v>22</v>
      </c>
      <c r="O15" s="50">
        <v>42864</v>
      </c>
      <c r="P15" s="25">
        <v>1157</v>
      </c>
      <c r="Q15" s="51" t="s">
        <v>111</v>
      </c>
      <c r="R15" s="26"/>
      <c r="S15" s="52">
        <v>43061</v>
      </c>
      <c r="T15" s="53" t="s">
        <v>112</v>
      </c>
      <c r="U15" s="58" t="s">
        <v>113</v>
      </c>
      <c r="V15" s="58" t="s">
        <v>114</v>
      </c>
      <c r="W15" s="26">
        <v>55</v>
      </c>
      <c r="X15" s="5" t="s">
        <v>115</v>
      </c>
      <c r="Y15" s="5"/>
      <c r="Z15" s="5"/>
    </row>
    <row r="16" spans="1:26" ht="15" x14ac:dyDescent="0.25">
      <c r="A16" s="3">
        <v>15</v>
      </c>
      <c r="B16" s="56" t="s">
        <v>116</v>
      </c>
      <c r="C16" s="46" t="s">
        <v>76</v>
      </c>
      <c r="D16" s="1" t="s">
        <v>37</v>
      </c>
      <c r="E16" s="1" t="s">
        <v>38</v>
      </c>
      <c r="F16" s="23" t="s">
        <v>17</v>
      </c>
      <c r="G16" s="47" t="s">
        <v>117</v>
      </c>
      <c r="H16" s="5"/>
      <c r="I16" s="5"/>
      <c r="J16" s="54" t="s">
        <v>30</v>
      </c>
      <c r="K16" s="54">
        <v>15139829</v>
      </c>
      <c r="L16" s="6" t="s">
        <v>31</v>
      </c>
      <c r="M16" s="26">
        <v>20</v>
      </c>
      <c r="N16" s="24" t="s">
        <v>22</v>
      </c>
      <c r="O16" s="50">
        <v>42864</v>
      </c>
      <c r="P16" s="25">
        <v>1202</v>
      </c>
      <c r="Q16" s="5"/>
      <c r="R16" s="26"/>
      <c r="S16" s="52">
        <v>43061</v>
      </c>
      <c r="T16" s="55" t="s">
        <v>118</v>
      </c>
      <c r="U16" s="58" t="s">
        <v>49</v>
      </c>
      <c r="V16" s="58" t="s">
        <v>50</v>
      </c>
      <c r="W16" s="26">
        <v>109</v>
      </c>
      <c r="X16" s="5" t="s">
        <v>119</v>
      </c>
      <c r="Y16" s="5"/>
      <c r="Z16" s="5"/>
    </row>
    <row r="17" spans="1:26" ht="30" x14ac:dyDescent="0.25">
      <c r="A17" s="3">
        <v>16</v>
      </c>
      <c r="B17" s="13" t="s">
        <v>120</v>
      </c>
      <c r="C17" s="22" t="s">
        <v>98</v>
      </c>
      <c r="D17" s="1" t="s">
        <v>37</v>
      </c>
      <c r="E17" s="1" t="s">
        <v>38</v>
      </c>
      <c r="F17" s="23" t="s">
        <v>17</v>
      </c>
      <c r="G17" s="37" t="s">
        <v>117</v>
      </c>
      <c r="H17" s="9"/>
      <c r="I17" s="9"/>
      <c r="J17" s="54" t="s">
        <v>30</v>
      </c>
      <c r="K17" s="43" t="s">
        <v>47</v>
      </c>
      <c r="L17" s="6" t="s">
        <v>31</v>
      </c>
      <c r="M17" s="26">
        <v>10</v>
      </c>
      <c r="N17" s="24" t="s">
        <v>62</v>
      </c>
      <c r="O17" s="27">
        <v>42864</v>
      </c>
      <c r="P17" s="25">
        <v>1203</v>
      </c>
      <c r="Q17" s="35" t="s">
        <v>121</v>
      </c>
      <c r="R17" s="26"/>
      <c r="S17" s="12">
        <v>43061</v>
      </c>
      <c r="T17" s="36" t="s">
        <v>122</v>
      </c>
      <c r="U17" s="58" t="s">
        <v>49</v>
      </c>
      <c r="V17" s="58" t="s">
        <v>50</v>
      </c>
      <c r="W17" s="26">
        <v>109</v>
      </c>
      <c r="X17" s="9" t="s">
        <v>123</v>
      </c>
      <c r="Y17" s="9"/>
      <c r="Z17" s="9"/>
    </row>
    <row r="18" spans="1:26" ht="15" x14ac:dyDescent="0.25">
      <c r="A18" s="3">
        <v>17</v>
      </c>
      <c r="B18" s="7" t="s">
        <v>124</v>
      </c>
      <c r="C18" s="22" t="s">
        <v>76</v>
      </c>
      <c r="D18" s="1" t="s">
        <v>37</v>
      </c>
      <c r="E18" s="1" t="s">
        <v>38</v>
      </c>
      <c r="F18" s="23" t="s">
        <v>18</v>
      </c>
      <c r="G18" s="37" t="s">
        <v>67</v>
      </c>
      <c r="H18" s="9"/>
      <c r="I18" s="9"/>
      <c r="J18" s="54" t="s">
        <v>30</v>
      </c>
      <c r="K18" s="41">
        <v>10808832</v>
      </c>
      <c r="L18" s="6" t="s">
        <v>31</v>
      </c>
      <c r="M18" s="26">
        <v>40</v>
      </c>
      <c r="N18" s="24" t="s">
        <v>22</v>
      </c>
      <c r="O18" s="27">
        <v>42864</v>
      </c>
      <c r="P18" s="25">
        <v>1207</v>
      </c>
      <c r="Q18" s="9"/>
      <c r="R18" s="26"/>
      <c r="S18" s="12">
        <v>43061</v>
      </c>
      <c r="T18" s="42" t="s">
        <v>79</v>
      </c>
      <c r="U18" s="58" t="s">
        <v>125</v>
      </c>
      <c r="V18" s="58" t="s">
        <v>126</v>
      </c>
      <c r="W18" s="26">
        <v>-7.7800000000000011</v>
      </c>
      <c r="X18" s="9" t="s">
        <v>127</v>
      </c>
      <c r="Y18" s="9"/>
      <c r="Z18" s="9"/>
    </row>
    <row r="19" spans="1:26" ht="30" x14ac:dyDescent="0.25">
      <c r="A19" s="3">
        <v>18</v>
      </c>
      <c r="B19" s="7" t="s">
        <v>65</v>
      </c>
      <c r="C19" s="22" t="s">
        <v>66</v>
      </c>
      <c r="D19" s="1" t="s">
        <v>37</v>
      </c>
      <c r="E19" s="1" t="s">
        <v>38</v>
      </c>
      <c r="F19" s="23" t="s">
        <v>18</v>
      </c>
      <c r="G19" s="37" t="s">
        <v>67</v>
      </c>
      <c r="H19" s="9"/>
      <c r="I19" s="9"/>
      <c r="J19" s="54" t="s">
        <v>16</v>
      </c>
      <c r="K19" s="38">
        <v>49896392</v>
      </c>
      <c r="L19" s="6" t="s">
        <v>21</v>
      </c>
      <c r="M19" s="26">
        <v>32.22</v>
      </c>
      <c r="N19" s="24" t="s">
        <v>22</v>
      </c>
      <c r="O19" s="27">
        <v>42864</v>
      </c>
      <c r="P19" s="25">
        <v>1209</v>
      </c>
      <c r="Q19" s="35" t="s">
        <v>68</v>
      </c>
      <c r="R19" s="26"/>
      <c r="S19" s="12">
        <v>43061</v>
      </c>
      <c r="T19" s="36" t="s">
        <v>69</v>
      </c>
      <c r="U19" s="58" t="s">
        <v>128</v>
      </c>
      <c r="V19" s="58" t="s">
        <v>70</v>
      </c>
      <c r="W19" s="26">
        <v>947.7800000000002</v>
      </c>
      <c r="X19" s="9" t="s">
        <v>129</v>
      </c>
      <c r="Y19" s="9"/>
      <c r="Z19" s="9"/>
    </row>
    <row r="20" spans="1:26" ht="15" x14ac:dyDescent="0.25">
      <c r="A20" s="3">
        <v>133</v>
      </c>
      <c r="B20" s="45" t="s">
        <v>131</v>
      </c>
      <c r="C20" s="22" t="s">
        <v>132</v>
      </c>
      <c r="D20" s="1" t="s">
        <v>73</v>
      </c>
      <c r="E20" s="1" t="s">
        <v>38</v>
      </c>
      <c r="F20" s="23" t="s">
        <v>17</v>
      </c>
      <c r="G20" s="37" t="s">
        <v>60</v>
      </c>
      <c r="H20" s="9"/>
      <c r="I20" s="9"/>
      <c r="J20" s="28" t="s">
        <v>16</v>
      </c>
      <c r="K20" s="23" t="s">
        <v>63</v>
      </c>
      <c r="L20" s="6" t="s">
        <v>133</v>
      </c>
      <c r="M20" s="26">
        <v>35</v>
      </c>
      <c r="N20" s="24" t="s">
        <v>134</v>
      </c>
      <c r="O20" s="27">
        <v>42863</v>
      </c>
      <c r="P20" s="61">
        <v>1058</v>
      </c>
      <c r="Q20" s="9"/>
      <c r="R20" s="26"/>
      <c r="S20" s="12">
        <v>43062</v>
      </c>
      <c r="T20" s="62" t="s">
        <v>135</v>
      </c>
      <c r="U20" s="26" t="s">
        <v>136</v>
      </c>
      <c r="V20" s="26" t="s">
        <v>137</v>
      </c>
      <c r="W20" s="26">
        <f t="shared" ref="W20" si="1">SUM(U20-V20)</f>
        <v>-288.24</v>
      </c>
      <c r="X20" s="9" t="s">
        <v>138</v>
      </c>
      <c r="Y20" s="9"/>
      <c r="Z20" s="9"/>
    </row>
    <row r="21" spans="1:26" x14ac:dyDescent="0.2">
      <c r="T21"/>
    </row>
    <row r="22" spans="1:26" x14ac:dyDescent="0.2">
      <c r="T22"/>
    </row>
    <row r="23" spans="1:26" x14ac:dyDescent="0.2">
      <c r="T23"/>
    </row>
    <row r="24" spans="1:26" x14ac:dyDescent="0.2">
      <c r="T24"/>
    </row>
    <row r="25" spans="1:26" x14ac:dyDescent="0.2">
      <c r="T25"/>
    </row>
    <row r="26" spans="1:26" x14ac:dyDescent="0.2">
      <c r="T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A2" sqref="A2"/>
    </sheetView>
  </sheetViews>
  <sheetFormatPr defaultColWidth="6.28515625" defaultRowHeight="12.75" x14ac:dyDescent="0.2"/>
  <cols>
    <col min="2" max="2" width="22.28515625" customWidth="1"/>
    <col min="3" max="3" width="21.85546875" customWidth="1"/>
    <col min="5" max="5" width="17.85546875" bestFit="1" customWidth="1"/>
    <col min="7" max="7" width="16.85546875" customWidth="1"/>
    <col min="8" max="8" width="18.5703125" customWidth="1"/>
    <col min="9" max="9" width="22.85546875" customWidth="1"/>
    <col min="10" max="10" width="14.85546875" customWidth="1"/>
  </cols>
  <sheetData>
    <row r="1" spans="1:10" ht="15" x14ac:dyDescent="0.25">
      <c r="A1" s="15" t="s">
        <v>24</v>
      </c>
      <c r="B1" s="15" t="s">
        <v>3</v>
      </c>
      <c r="C1" s="16" t="s">
        <v>0</v>
      </c>
      <c r="D1" s="15" t="s">
        <v>2</v>
      </c>
      <c r="E1" s="15" t="s">
        <v>1</v>
      </c>
      <c r="F1" s="17" t="s">
        <v>4</v>
      </c>
      <c r="G1" s="18" t="s">
        <v>6</v>
      </c>
      <c r="H1" s="18" t="s">
        <v>139</v>
      </c>
      <c r="I1" s="19" t="s">
        <v>140</v>
      </c>
      <c r="J1" s="19" t="s">
        <v>25</v>
      </c>
    </row>
    <row r="2" spans="1:10" s="68" customFormat="1" ht="15.75" customHeight="1" x14ac:dyDescent="0.2">
      <c r="A2" s="63">
        <v>1</v>
      </c>
      <c r="B2" s="64" t="s">
        <v>35</v>
      </c>
      <c r="C2" s="65" t="s">
        <v>36</v>
      </c>
      <c r="D2" s="66" t="s">
        <v>37</v>
      </c>
      <c r="E2" s="66" t="s">
        <v>38</v>
      </c>
      <c r="F2" s="29" t="s">
        <v>17</v>
      </c>
      <c r="G2" s="29" t="s">
        <v>39</v>
      </c>
      <c r="H2" s="63"/>
      <c r="I2" s="67"/>
      <c r="J2" s="6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SIT_CYCLE</vt:lpstr>
      <vt:lpstr>PCCS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2018-05-01T17:14:28Z</dcterms:modified>
</cp:coreProperties>
</file>