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BAMacro\"/>
    </mc:Choice>
  </mc:AlternateContent>
  <xr:revisionPtr revIDLastSave="0" documentId="13_ncr:1_{05E464A4-86BC-4646-B2A1-63F0CF9D12B9}" xr6:coauthVersionLast="45" xr6:coauthVersionMax="45" xr10:uidLastSave="{00000000-0000-0000-0000-000000000000}"/>
  <bookViews>
    <workbookView xWindow="-110" yWindow="-110" windowWidth="19420" windowHeight="10420" tabRatio="497" xr2:uid="{00000000-000D-0000-FFFF-FFFF00000000}"/>
  </bookViews>
  <sheets>
    <sheet name="Sheet1" sheetId="8" r:id="rId1"/>
    <sheet name="Config" sheetId="9" r:id="rId2"/>
  </sheets>
  <functionGroups builtInGroupCount="19"/>
  <definedNames>
    <definedName name="_xlnm._FilterDatabase" localSheetId="0" hidden="1">Sheet1!$A$1:$I$2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4" i="9" l="1"/>
  <c r="T3" i="9"/>
  <c r="T2" i="9"/>
  <c r="S4" i="9"/>
  <c r="S3" i="9"/>
  <c r="S2" i="9"/>
  <c r="E2" i="9"/>
  <c r="J2" i="9"/>
  <c r="L2" i="9" s="1"/>
  <c r="K2" i="9"/>
  <c r="Q2" i="9" s="1"/>
  <c r="I2" i="9"/>
  <c r="M2" i="9" s="1"/>
  <c r="O2" i="9" l="1"/>
  <c r="P2" i="9"/>
  <c r="N2" i="9"/>
</calcChain>
</file>

<file path=xl/sharedStrings.xml><?xml version="1.0" encoding="utf-8"?>
<sst xmlns="http://schemas.openxmlformats.org/spreadsheetml/2006/main" count="64" uniqueCount="58">
  <si>
    <t>DESC</t>
  </si>
  <si>
    <t>PreviousRunStatus</t>
  </si>
  <si>
    <t>RUN</t>
  </si>
  <si>
    <t>Name</t>
  </si>
  <si>
    <t>QC ID</t>
  </si>
  <si>
    <t>Screenshot</t>
  </si>
  <si>
    <t>Default</t>
  </si>
  <si>
    <t>ATM_Upgrade</t>
  </si>
  <si>
    <t>Root\zTrash - No longer needed\NOC\NOC</t>
  </si>
  <si>
    <t>Touseef.Tamboli</t>
  </si>
  <si>
    <t>http://msdcqcapp1:8080/qcbin/</t>
  </si>
  <si>
    <t>may2018$</t>
  </si>
  <si>
    <t>Description</t>
  </si>
  <si>
    <t>Test lab to be deleted</t>
  </si>
  <si>
    <t>TotalFileGenerated</t>
  </si>
  <si>
    <t>TodaysJulianDate</t>
  </si>
  <si>
    <t>TodaysCounter</t>
  </si>
  <si>
    <t>TT</t>
  </si>
  <si>
    <t>UniqueIdentifier</t>
  </si>
  <si>
    <t>ICN Range</t>
  </si>
  <si>
    <t>SubscriberRange</t>
  </si>
  <si>
    <t>RangeInit</t>
  </si>
  <si>
    <t>SubscriberInit</t>
  </si>
  <si>
    <t>R119</t>
  </si>
  <si>
    <t>REF*D9</t>
  </si>
  <si>
    <t>GE</t>
  </si>
  <si>
    <t>IEA</t>
  </si>
  <si>
    <t>PCN Range</t>
  </si>
  <si>
    <t>CLM QA3</t>
  </si>
  <si>
    <t>CLM QA2</t>
  </si>
  <si>
    <t>NM1*IL QA2</t>
  </si>
  <si>
    <t>Source</t>
  </si>
  <si>
    <t>EDI</t>
  </si>
  <si>
    <t>GHI</t>
  </si>
  <si>
    <t>PPR</t>
  </si>
  <si>
    <t>Professional</t>
  </si>
  <si>
    <t>Dental</t>
  </si>
  <si>
    <t>Institutional</t>
  </si>
  <si>
    <t>GS PRO</t>
  </si>
  <si>
    <t>GS INST</t>
  </si>
  <si>
    <t>GS DENT</t>
  </si>
  <si>
    <t>Claim Date</t>
  </si>
  <si>
    <t>ClaimDateTrim</t>
  </si>
  <si>
    <t>FHPS STATES</t>
  </si>
  <si>
    <t>CO</t>
  </si>
  <si>
    <t>CT</t>
  </si>
  <si>
    <t>GA</t>
  </si>
  <si>
    <t>IN</t>
  </si>
  <si>
    <t>KY</t>
  </si>
  <si>
    <t>ME</t>
  </si>
  <si>
    <t>MO</t>
  </si>
  <si>
    <t>NH</t>
  </si>
  <si>
    <t>NV</t>
  </si>
  <si>
    <t>NY</t>
  </si>
  <si>
    <t>OH</t>
  </si>
  <si>
    <t>VA</t>
  </si>
  <si>
    <t>WI</t>
  </si>
  <si>
    <t>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</si>
</sst>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8"/>
      <color rgb="FF3E3E3E"/>
      <name val="Courier New"/>
      <family val="3"/>
    </font>
    <font>
      <sz val="14"/>
      <name val="Cambria"/>
      <family val="1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0" borderId="0" applyFill="0">
      <alignment vertical="top" wrapText="1"/>
    </xf>
    <xf numFmtId="0" fontId="5" fillId="0" borderId="0"/>
    <xf numFmtId="0" fontId="1" fillId="0" borderId="0"/>
  </cellStyleXfs>
  <cellXfs count="12">
    <xf numFmtId="0" fontId="0" fillId="0" borderId="0" xfId="0"/>
    <xf numFmtId="0" fontId="2" fillId="2" borderId="1" xfId="1" applyNumberFormat="1" applyBorder="1"/>
    <xf numFmtId="0" fontId="2" fillId="2" borderId="1" xfId="1" applyNumberFormat="1" applyBorder="1" applyAlignment="1">
      <alignment wrapText="1"/>
    </xf>
    <xf numFmtId="0" fontId="0" fillId="0" borderId="0" xfId="0" applyAlignment="1">
      <alignment wrapText="1"/>
    </xf>
    <xf numFmtId="49" fontId="3" fillId="0" borderId="0" xfId="0" quotePrefix="1" applyNumberFormat="1" applyFont="1"/>
    <xf numFmtId="49" fontId="0" fillId="0" borderId="0" xfId="0" applyNumberFormat="1"/>
    <xf numFmtId="0" fontId="2" fillId="2" borderId="2" xfId="1" applyNumberFormat="1" applyBorder="1" applyAlignment="1">
      <alignment wrapText="1"/>
    </xf>
    <xf numFmtId="0" fontId="6" fillId="0" borderId="0" xfId="0" applyFont="1"/>
    <xf numFmtId="0" fontId="3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</cellXfs>
  <cellStyles count="5">
    <cellStyle name="60% - Accent1" xfId="1" builtinId="32"/>
    <cellStyle name="Normal" xfId="0" builtinId="0"/>
    <cellStyle name="Normal 10" xfId="4" xr:uid="{00000000-0005-0000-0000-000002000000}"/>
    <cellStyle name="Normal 2" xfId="2" xr:uid="{00000000-0005-0000-0000-000003000000}"/>
    <cellStyle name="Normal 3" xfId="3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"/>
  <sheetViews>
    <sheetView tabSelected="1" zoomScaleNormal="100" workbookViewId="0">
      <pane ySplit="1" topLeftCell="A2" activePane="bottomLeft" state="frozen"/>
      <selection pane="bottomLeft" activeCell="C14" sqref="C14"/>
    </sheetView>
  </sheetViews>
  <sheetFormatPr defaultRowHeight="12.5" x14ac:dyDescent="0.25"/>
  <cols>
    <col min="1" max="1" width="19.81640625" customWidth="1"/>
    <col min="2" max="2" width="9.54296875" style="3" bestFit="1" customWidth="1"/>
    <col min="3" max="3" width="34.7265625" bestFit="1" customWidth="1"/>
    <col min="4" max="4" width="9.1796875" customWidth="1"/>
    <col min="5" max="5" width="17.81640625" bestFit="1" customWidth="1"/>
    <col min="6" max="6" width="37.1796875" bestFit="1" customWidth="1"/>
    <col min="7" max="7" width="11.1796875" customWidth="1"/>
  </cols>
  <sheetData>
    <row r="1" spans="1:11" ht="14.5" x14ac:dyDescent="0.35">
      <c r="A1" s="2" t="s">
        <v>4</v>
      </c>
      <c r="B1" s="2" t="s">
        <v>3</v>
      </c>
      <c r="C1" s="1" t="s">
        <v>0</v>
      </c>
      <c r="D1" s="2" t="s">
        <v>2</v>
      </c>
      <c r="E1" s="2" t="s">
        <v>1</v>
      </c>
      <c r="F1" s="6" t="s">
        <v>5</v>
      </c>
      <c r="G1" s="6" t="s">
        <v>12</v>
      </c>
    </row>
    <row r="2" spans="1:11" x14ac:dyDescent="0.25">
      <c r="A2" t="s">
        <v>9</v>
      </c>
      <c r="B2" s="3" t="s">
        <v>11</v>
      </c>
      <c r="C2" t="s">
        <v>10</v>
      </c>
      <c r="D2" t="s">
        <v>6</v>
      </c>
      <c r="E2" t="s">
        <v>7</v>
      </c>
      <c r="F2" t="s">
        <v>8</v>
      </c>
      <c r="G2" s="5" t="s">
        <v>13</v>
      </c>
      <c r="H2" s="5"/>
      <c r="I2" s="4"/>
      <c r="J2" s="5"/>
      <c r="K2" s="5"/>
    </row>
    <row r="3" spans="1:11" x14ac:dyDescent="0.25">
      <c r="A3" t="s">
        <v>9</v>
      </c>
      <c r="B3" s="3" t="s">
        <v>11</v>
      </c>
      <c r="C3" t="s">
        <v>10</v>
      </c>
      <c r="D3" t="s">
        <v>6</v>
      </c>
      <c r="E3" t="s">
        <v>7</v>
      </c>
      <c r="F3" t="s">
        <v>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06C0E-6DC8-447A-9F4C-CDD959FD52DD}">
  <sheetPr codeName="Sheet2"/>
  <dimension ref="A1:AB15"/>
  <sheetViews>
    <sheetView workbookViewId="0">
      <selection activeCell="G5" sqref="G5"/>
    </sheetView>
  </sheetViews>
  <sheetFormatPr defaultRowHeight="12.5" x14ac:dyDescent="0.25"/>
  <cols>
    <col min="1" max="1" width="17" bestFit="1" customWidth="1"/>
    <col min="2" max="2" width="14.6328125" bestFit="1" customWidth="1"/>
    <col min="3" max="3" width="15.54296875" bestFit="1" customWidth="1"/>
    <col min="4" max="5" width="15.54296875" customWidth="1"/>
    <col min="6" max="6" width="13.6328125" bestFit="1" customWidth="1"/>
    <col min="7" max="7" width="8.54296875" customWidth="1"/>
    <col min="8" max="8" width="12.36328125" bestFit="1" customWidth="1"/>
    <col min="9" max="9" width="9.81640625" bestFit="1" customWidth="1"/>
    <col min="10" max="10" width="13.1796875" bestFit="1" customWidth="1"/>
    <col min="11" max="11" width="14.7265625" bestFit="1" customWidth="1"/>
    <col min="12" max="12" width="20.54296875" bestFit="1" customWidth="1"/>
    <col min="13" max="13" width="15" bestFit="1" customWidth="1"/>
    <col min="14" max="14" width="15.26953125" bestFit="1" customWidth="1"/>
    <col min="15" max="15" width="43.54296875" bestFit="1" customWidth="1"/>
    <col min="16" max="16" width="44.26953125" bestFit="1" customWidth="1"/>
    <col min="17" max="17" width="35.36328125" bestFit="1" customWidth="1"/>
    <col min="19" max="19" width="30" customWidth="1"/>
    <col min="23" max="23" width="11.08984375" bestFit="1" customWidth="1"/>
  </cols>
  <sheetData>
    <row r="1" spans="1:28" ht="14.5" x14ac:dyDescent="0.35">
      <c r="A1" s="7" t="s">
        <v>14</v>
      </c>
      <c r="B1" s="7" t="s">
        <v>18</v>
      </c>
      <c r="C1" s="7" t="s">
        <v>15</v>
      </c>
      <c r="D1" s="7" t="s">
        <v>41</v>
      </c>
      <c r="E1" s="7" t="s">
        <v>42</v>
      </c>
      <c r="F1" s="7" t="s">
        <v>16</v>
      </c>
      <c r="G1" s="7" t="s">
        <v>21</v>
      </c>
      <c r="H1" s="7" t="s">
        <v>22</v>
      </c>
      <c r="I1" s="7" t="s">
        <v>19</v>
      </c>
      <c r="J1" s="7" t="s">
        <v>27</v>
      </c>
      <c r="K1" s="7" t="s">
        <v>20</v>
      </c>
      <c r="L1" s="7" t="s">
        <v>24</v>
      </c>
      <c r="M1" s="7" t="s">
        <v>25</v>
      </c>
      <c r="N1" s="7" t="s">
        <v>26</v>
      </c>
      <c r="O1" s="7" t="s">
        <v>29</v>
      </c>
      <c r="P1" s="7" t="s">
        <v>28</v>
      </c>
      <c r="Q1" s="7" t="s">
        <v>30</v>
      </c>
      <c r="R1" s="7" t="s">
        <v>31</v>
      </c>
      <c r="S1" s="7" t="s">
        <v>35</v>
      </c>
      <c r="T1" s="7" t="s">
        <v>38</v>
      </c>
      <c r="U1" s="7" t="s">
        <v>36</v>
      </c>
      <c r="V1" s="7" t="s">
        <v>40</v>
      </c>
      <c r="W1" s="7" t="s">
        <v>37</v>
      </c>
      <c r="X1" s="7" t="s">
        <v>39</v>
      </c>
      <c r="AB1" s="11" t="s">
        <v>43</v>
      </c>
    </row>
    <row r="2" spans="1:28" ht="17.5" x14ac:dyDescent="0.35">
      <c r="A2">
        <v>0</v>
      </c>
      <c r="B2" s="8" t="s">
        <v>17</v>
      </c>
      <c r="C2">
        <v>21197</v>
      </c>
      <c r="D2">
        <v>20210615</v>
      </c>
      <c r="E2" t="str">
        <f>RIGHT(D2,LEN(D2)-2)</f>
        <v>210615</v>
      </c>
      <c r="F2">
        <v>10</v>
      </c>
      <c r="G2">
        <v>5500</v>
      </c>
      <c r="H2" s="8" t="s">
        <v>23</v>
      </c>
      <c r="I2" t="str">
        <f>C2&amp;G2+F2</f>
        <v>211975510</v>
      </c>
      <c r="J2" t="str">
        <f>C2&amp;"D07"&amp;G2+F2</f>
        <v>21197D075510</v>
      </c>
      <c r="K2" s="8" t="str">
        <f>H2&amp;G2+F2</f>
        <v>R1195510</v>
      </c>
      <c r="L2" s="8" t="str">
        <f>"REF*D9*"&amp;J2</f>
        <v>REF*D9*21197D075510</v>
      </c>
      <c r="M2" t="str">
        <f>"GE*1*"&amp;I2</f>
        <v>GE*1*211975510</v>
      </c>
      <c r="N2" t="str">
        <f>"IEA*1*"&amp;I2</f>
        <v>IEA*1*211975510</v>
      </c>
      <c r="O2" t="str">
        <f>"CLM*"&amp;J2&amp;"FS02*403.22***11|B|1*Y*A*Y*Y"</f>
        <v>CLM*21197D075510FS02*403.22***11|B|1*Y*A*Y*Y</v>
      </c>
      <c r="P2" s="8" t="str">
        <f>"CLM*"&amp;J2&amp;"FS04*403.22***11|B|1*Y*A*Y*Y"</f>
        <v>CLM*21197D075510FS04*403.22***11|B|1*Y*A*Y*Y</v>
      </c>
      <c r="Q2" t="str">
        <f>"NM1*IL*1*KAMY*NITHI*F***MI*"&amp;K2</f>
        <v>NM1*IL*1*KAMY*NITHI*F***MI*R1195510</v>
      </c>
      <c r="R2" s="8" t="s">
        <v>32</v>
      </c>
      <c r="S2" s="8" t="str">
        <f>"ISA*00*          *00*          *ZZ*MW55555P       *ZZ*FUSION         *"&amp;E2&amp;"*1140*^*00501*"&amp;I2&amp;"*1*T*|"</f>
        <v>ISA*00*          *00*          *ZZ*MW55555P       *ZZ*FUSION         *210615*1140*^*00501*211975510*1*T*|</v>
      </c>
      <c r="T2" s="8" t="str">
        <f>"GS*HC*MW55555P*FUSIONVA*"&amp;D2&amp;"*1140*"&amp;I2&amp;"*X*005010X222A1"</f>
        <v>GS*HC*MW55555P*FUSIONVA*20210615*1140*211975510*X*005010X222A1</v>
      </c>
      <c r="AB2" s="10" t="s">
        <v>57</v>
      </c>
    </row>
    <row r="3" spans="1:28" x14ac:dyDescent="0.25">
      <c r="L3" s="8"/>
      <c r="M3" s="8"/>
      <c r="N3" s="8"/>
      <c r="P3" s="8"/>
      <c r="Q3" s="8"/>
      <c r="R3" s="8" t="s">
        <v>34</v>
      </c>
      <c r="S3" s="8" t="str">
        <f>"ISA*00*          *00*          *ZZ*PRSRCP         *ZZ*PRFUSNCO       *"&amp;E2&amp;"*1610*^*00501*"&amp;I2&amp;"*1*T*|"</f>
        <v>ISA*00*          *00*          *ZZ*PRSRCP         *ZZ*PRFUSNCO       *210615*1610*^*00501*211975510*1*T*|</v>
      </c>
      <c r="T3" t="str">
        <f>"GS*HC*PRSRCP*PRFUSNCO*"&amp;D2&amp;"*1610*"&amp;I2&amp;"*X*005010X222A1"</f>
        <v>GS*HC*PRSRCP*PRFUSNCO*20210615*1610*211975510*X*005010X222A1</v>
      </c>
      <c r="AB3" s="8" t="s">
        <v>44</v>
      </c>
    </row>
    <row r="4" spans="1:28" x14ac:dyDescent="0.25">
      <c r="R4" s="8" t="s">
        <v>33</v>
      </c>
      <c r="S4" t="str">
        <f>"ISA*00*          *00*          *ZZ*MW55555P       *ZZ*MEDRECFUSN     *"&amp;E2&amp;"*1140*^*00501*"&amp;I2&amp;"*1*T*|"</f>
        <v>ISA*00*          *00*          *ZZ*MW55555P       *ZZ*MEDRECFUSN     *210615*1140*^*00501*211975510*1*T*|</v>
      </c>
      <c r="T4" t="str">
        <f>"GS*HC*MW55555P*MEDRECFUSNME*"&amp;D2&amp;"*1140*"&amp;I2&amp;"*X*005010X222A1"</f>
        <v>GS*HC*MW55555P*MEDRECFUSNME*20210615*1140*211975510*X*005010X222A1</v>
      </c>
      <c r="AB4" s="8" t="s">
        <v>45</v>
      </c>
    </row>
    <row r="5" spans="1:28" x14ac:dyDescent="0.25">
      <c r="AB5" s="8" t="s">
        <v>46</v>
      </c>
    </row>
    <row r="6" spans="1:28" x14ac:dyDescent="0.25">
      <c r="D6" s="9"/>
      <c r="E6" s="9"/>
      <c r="AB6" s="8" t="s">
        <v>47</v>
      </c>
    </row>
    <row r="7" spans="1:28" x14ac:dyDescent="0.25">
      <c r="S7" s="8"/>
      <c r="AB7" s="8" t="s">
        <v>48</v>
      </c>
    </row>
    <row r="8" spans="1:28" x14ac:dyDescent="0.25">
      <c r="AB8" s="8" t="s">
        <v>49</v>
      </c>
    </row>
    <row r="9" spans="1:28" x14ac:dyDescent="0.25">
      <c r="AB9" s="8" t="s">
        <v>50</v>
      </c>
    </row>
    <row r="10" spans="1:28" x14ac:dyDescent="0.25">
      <c r="AB10" s="8" t="s">
        <v>51</v>
      </c>
    </row>
    <row r="11" spans="1:28" x14ac:dyDescent="0.25">
      <c r="AB11" s="8" t="s">
        <v>52</v>
      </c>
    </row>
    <row r="12" spans="1:28" x14ac:dyDescent="0.25">
      <c r="AB12" s="8" t="s">
        <v>53</v>
      </c>
    </row>
    <row r="13" spans="1:28" x14ac:dyDescent="0.25">
      <c r="AB13" s="8" t="s">
        <v>54</v>
      </c>
    </row>
    <row r="14" spans="1:28" x14ac:dyDescent="0.25">
      <c r="AB14" s="8" t="s">
        <v>55</v>
      </c>
    </row>
    <row r="15" spans="1:28" x14ac:dyDescent="0.25">
      <c r="AB15" s="8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svendra</dc:creator>
  <cp:lastModifiedBy>Tamboli, Touseef</cp:lastModifiedBy>
  <dcterms:created xsi:type="dcterms:W3CDTF">2009-02-05T12:09:46Z</dcterms:created>
  <dcterms:modified xsi:type="dcterms:W3CDTF">2021-07-18T15:59:14Z</dcterms:modified>
</cp:coreProperties>
</file>