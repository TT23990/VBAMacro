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BAMacro\"/>
    </mc:Choice>
  </mc:AlternateContent>
  <xr:revisionPtr revIDLastSave="0" documentId="13_ncr:1_{D64EB78F-3B03-4524-A26C-B179FB906051}" xr6:coauthVersionLast="45" xr6:coauthVersionMax="45" xr10:uidLastSave="{00000000-0000-0000-0000-000000000000}"/>
  <bookViews>
    <workbookView minimized="1" xWindow="3140" yWindow="3140" windowWidth="14400" windowHeight="7360" tabRatio="497" activeTab="1" xr2:uid="{00000000-000D-0000-FFFF-FFFF00000000}"/>
  </bookViews>
  <sheets>
    <sheet name="Sheet1" sheetId="8" r:id="rId1"/>
    <sheet name="Config" sheetId="9" r:id="rId2"/>
    <sheet name="Sheet2" sheetId="10" r:id="rId3"/>
  </sheets>
  <functionGroups builtInGroupCount="19"/>
  <definedNames>
    <definedName name="_xlnm._FilterDatabase" localSheetId="0" hidden="1">Sheet1!$A$1:$I$2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25" i="9" l="1"/>
  <c r="W24" i="9"/>
  <c r="W23" i="9"/>
  <c r="W22" i="9"/>
  <c r="W27" i="9"/>
  <c r="W26" i="9"/>
  <c r="W17" i="9"/>
  <c r="W16" i="9"/>
  <c r="W15" i="9"/>
  <c r="W14" i="9"/>
  <c r="W13" i="9"/>
  <c r="W12" i="9"/>
  <c r="W7" i="9"/>
  <c r="W6" i="9"/>
  <c r="W5" i="9"/>
  <c r="W3" i="9"/>
  <c r="W2" i="9"/>
  <c r="W4" i="9"/>
  <c r="W20" i="9" l="1"/>
  <c r="W19" i="9"/>
  <c r="W18" i="9"/>
  <c r="W8" i="9"/>
  <c r="W10" i="9"/>
  <c r="W9" i="9"/>
  <c r="J2" i="9"/>
  <c r="H2" i="9"/>
  <c r="X25" i="9" l="1"/>
  <c r="X24" i="9"/>
  <c r="X22" i="9"/>
  <c r="X23" i="9"/>
  <c r="U24" i="9"/>
  <c r="U25" i="9"/>
  <c r="U22" i="9"/>
  <c r="U23" i="9"/>
  <c r="X12" i="9"/>
  <c r="X3" i="9"/>
  <c r="X4" i="9"/>
  <c r="X2" i="9"/>
  <c r="X13" i="9"/>
  <c r="X14" i="9"/>
  <c r="U20" i="9"/>
  <c r="U12" i="9"/>
  <c r="U27" i="9"/>
  <c r="U26" i="9"/>
  <c r="U7" i="9"/>
  <c r="U17" i="9"/>
  <c r="U6" i="9"/>
  <c r="U4" i="9"/>
  <c r="U16" i="9"/>
  <c r="U5" i="9"/>
  <c r="U3" i="9"/>
  <c r="U13" i="9"/>
  <c r="U15" i="9"/>
  <c r="U2" i="9"/>
  <c r="U14" i="9"/>
  <c r="X18" i="9"/>
  <c r="X16" i="9"/>
  <c r="X15" i="9"/>
  <c r="X7" i="9"/>
  <c r="X6" i="9"/>
  <c r="X17" i="9"/>
  <c r="X5" i="9"/>
  <c r="U19" i="9"/>
  <c r="U8" i="9"/>
  <c r="U9" i="9"/>
  <c r="U10" i="9"/>
  <c r="U18" i="9"/>
  <c r="X8" i="9"/>
  <c r="X26" i="9"/>
  <c r="X27" i="9"/>
  <c r="X10" i="9"/>
  <c r="X9" i="9"/>
  <c r="X19" i="9"/>
  <c r="X20" i="9"/>
  <c r="F2" i="9"/>
  <c r="I2" i="9"/>
  <c r="AC2" i="9"/>
  <c r="K2" i="9"/>
  <c r="I5" i="9" l="1"/>
  <c r="I4" i="9"/>
  <c r="I3" i="9"/>
  <c r="T2" i="9"/>
  <c r="T23" i="9"/>
  <c r="T24" i="9"/>
  <c r="T25" i="9"/>
  <c r="T22" i="9"/>
  <c r="T10" i="9"/>
  <c r="T4" i="9"/>
  <c r="T19" i="9"/>
  <c r="T9" i="9"/>
  <c r="T18" i="9"/>
  <c r="T20" i="9"/>
  <c r="T16" i="9"/>
  <c r="T12" i="9"/>
  <c r="T6" i="9"/>
  <c r="T5" i="9"/>
  <c r="T17" i="9"/>
  <c r="T27" i="9"/>
  <c r="T15" i="9"/>
  <c r="T26" i="9"/>
  <c r="T14" i="9"/>
  <c r="T7" i="9"/>
  <c r="T13" i="9"/>
  <c r="T8" i="9"/>
  <c r="T3" i="9"/>
  <c r="Y27" i="9"/>
  <c r="Y26" i="9"/>
  <c r="AA2" i="9"/>
  <c r="AB2" i="9"/>
  <c r="L2" i="9"/>
  <c r="Y24" i="9" l="1"/>
  <c r="Z26" i="9"/>
  <c r="Y23" i="9"/>
  <c r="Z27" i="9"/>
  <c r="Z22" i="9"/>
  <c r="Z23" i="9"/>
  <c r="Z24" i="9"/>
  <c r="Y25" i="9"/>
  <c r="Z25" i="9"/>
  <c r="Y22" i="9"/>
  <c r="Y7" i="9"/>
  <c r="Z7" i="9"/>
  <c r="Y5" i="9"/>
  <c r="Z8" i="9"/>
  <c r="Y3" i="9"/>
  <c r="Z9" i="9"/>
  <c r="Y4" i="9"/>
  <c r="Z10" i="9"/>
  <c r="Y9" i="9"/>
  <c r="Y2" i="9"/>
  <c r="Z3" i="9"/>
  <c r="Z2" i="9"/>
  <c r="Y10" i="9"/>
  <c r="Z4" i="9"/>
  <c r="Y8" i="9"/>
  <c r="Z5" i="9"/>
  <c r="Y6" i="9"/>
  <c r="Z6" i="9"/>
  <c r="Y15" i="9"/>
  <c r="Z18" i="9"/>
  <c r="Y13" i="9"/>
  <c r="Z19" i="9"/>
  <c r="Y14" i="9"/>
  <c r="Z20" i="9"/>
  <c r="Y12" i="9"/>
  <c r="Z13" i="9"/>
  <c r="Z12" i="9"/>
  <c r="Z14" i="9"/>
  <c r="Y18" i="9"/>
  <c r="Z15" i="9"/>
  <c r="Z16" i="9"/>
  <c r="Y17" i="9"/>
  <c r="Z17" i="9"/>
  <c r="Y19" i="9"/>
  <c r="Y20" i="9"/>
  <c r="Y16" i="9"/>
</calcChain>
</file>

<file path=xl/sharedStrings.xml><?xml version="1.0" encoding="utf-8"?>
<sst xmlns="http://schemas.openxmlformats.org/spreadsheetml/2006/main" count="412" uniqueCount="206">
  <si>
    <t>DESC</t>
  </si>
  <si>
    <t>PreviousRunStatus</t>
  </si>
  <si>
    <t>RUN</t>
  </si>
  <si>
    <t>Name</t>
  </si>
  <si>
    <t>QC ID</t>
  </si>
  <si>
    <t>Screenshot</t>
  </si>
  <si>
    <t>Default</t>
  </si>
  <si>
    <t>ATM_Upgrade</t>
  </si>
  <si>
    <t>Root\zTrash - No longer needed\NOC\NOC</t>
  </si>
  <si>
    <t>Touseef.Tamboli</t>
  </si>
  <si>
    <t>http://msdcqcapp1:8080/qcbin/</t>
  </si>
  <si>
    <t>may2018$</t>
  </si>
  <si>
    <t>Description</t>
  </si>
  <si>
    <t>Test lab to be deleted</t>
  </si>
  <si>
    <t>TotalFileGenerated</t>
  </si>
  <si>
    <t>TodaysJulianDate</t>
  </si>
  <si>
    <t>ICN Range</t>
  </si>
  <si>
    <t>SubscriberRange</t>
  </si>
  <si>
    <t>SubscriberInit</t>
  </si>
  <si>
    <t>GE</t>
  </si>
  <si>
    <t>IEA</t>
  </si>
  <si>
    <t>PCN Range</t>
  </si>
  <si>
    <t>CLM QA3</t>
  </si>
  <si>
    <t>CLM QA2</t>
  </si>
  <si>
    <t>NM1*IL QA2</t>
  </si>
  <si>
    <t>Source</t>
  </si>
  <si>
    <t>EDI</t>
  </si>
  <si>
    <t>GHI</t>
  </si>
  <si>
    <t>PPR</t>
  </si>
  <si>
    <t>Claim Date</t>
  </si>
  <si>
    <t>ClaimDateTrim</t>
  </si>
  <si>
    <t>FHPS STATES</t>
  </si>
  <si>
    <t>SequenceNumber</t>
  </si>
  <si>
    <t>Combination</t>
  </si>
  <si>
    <t>RowNumber</t>
  </si>
  <si>
    <t>TotalRows</t>
  </si>
  <si>
    <t>Version</t>
  </si>
  <si>
    <t>Dental ISA</t>
  </si>
  <si>
    <t>Environment</t>
  </si>
  <si>
    <t>QA3</t>
  </si>
  <si>
    <t>QA2</t>
  </si>
  <si>
    <t>IPSwitch</t>
  </si>
  <si>
    <t>GS*HC*ANTHEM*FEPVA*20210302*1307*631703342*X*005010X222A1</t>
  </si>
  <si>
    <t>ST*837*1114*005010X222A1</t>
  </si>
  <si>
    <t>BHT*0019*00*25476212296*20210302*130710*CH</t>
  </si>
  <si>
    <t>Professional/SHELD ISA</t>
  </si>
  <si>
    <t>GS</t>
  </si>
  <si>
    <t>ST</t>
  </si>
  <si>
    <t>BHT</t>
  </si>
  <si>
    <t>NM1*IL</t>
  </si>
  <si>
    <t>CLM*</t>
  </si>
  <si>
    <t>REF*D9*</t>
  </si>
  <si>
    <t>GE*1*</t>
  </si>
  <si>
    <t>IEA*1*</t>
  </si>
  <si>
    <t>ISA*00*          *00*          *ZZ*MW55555P       *ZZ*FUSION         *210618*1100*^*00501*211811500*0*T*|</t>
  </si>
  <si>
    <t>GS*HC*MW55555P*FUSIONME*20210618*1119*211811500*X*005010X222A1</t>
  </si>
  <si>
    <t>ST*837*1008*005010X222A1</t>
  </si>
  <si>
    <t>BHT*0019*00*31697028806*20210618*111906*CH</t>
  </si>
  <si>
    <t>NM1*IL*1*DANSEREAU*MARK****MI*R50669227</t>
  </si>
  <si>
    <t>CLM*21181D931500FS04*29***22|B|1*Y*A*Y*Y*P</t>
  </si>
  <si>
    <t>GE*1*211811500</t>
  </si>
  <si>
    <t>IEA*1*211811500</t>
  </si>
  <si>
    <t>ISA*00*          *00*          *ZZ*PRSRCP         *ZZ*PRFUSNME       *210629*1100*^*00501*211854300*0*T*|</t>
  </si>
  <si>
    <t>GS*HC*PRSRCP*PRFUSNME*20210629*1119*211854300*X*005010X222A1</t>
  </si>
  <si>
    <t>BHT*0019*00*31697028806*20210629*111906*CH</t>
  </si>
  <si>
    <t>CLM*21181B944300FS04*29***22|B|1*Y*A*Y*Y*P</t>
  </si>
  <si>
    <t>REF*D9*21181B944300</t>
  </si>
  <si>
    <t>GE*1*211854300</t>
  </si>
  <si>
    <t>IEA*1*211854300</t>
  </si>
  <si>
    <t>ISA*00*          *00*          *ZZ*MW55555P       *ZZ*WLPFUSNME      *210618*1100*^*00501*211811800*0*T*|</t>
  </si>
  <si>
    <t>GS*HC*MW55555P*WLPFUSNME*20210618*1119*211811800*X*005010X222A1</t>
  </si>
  <si>
    <t>CLM*21181G831800FS04*29***22|B|1*Y*A*Y*Y*P</t>
  </si>
  <si>
    <t>GE*1*211811800</t>
  </si>
  <si>
    <t>IEA*1*211811800</t>
  </si>
  <si>
    <t>FS02</t>
  </si>
  <si>
    <t>ISA*00*          *00*          *ZZ*ANTHEM         *ZZ*FEP            *210302*1246*^*00501*631703342*0*T*|</t>
  </si>
  <si>
    <t>NM1*IL*1*KAMY*NITHI*F***MI*R55555555</t>
  </si>
  <si>
    <t>CLM*4841767-1-1*403.22***11|B|1*Y*A*Y*Y*P</t>
  </si>
  <si>
    <t>REF*D9*CP21061131665018911</t>
  </si>
  <si>
    <t>GE*1*631703342</t>
  </si>
  <si>
    <t>IEA*1*631703342</t>
  </si>
  <si>
    <t>ISA*00*          *00*          *ZZ*ANTHEM         *ZZ*PROFEPCT       *210302*1246*^*00501*631703342*0*T*|</t>
  </si>
  <si>
    <t>GS*HC*ANTHEM*PROFEPCT*20210302*1307*631703342*X*005010X222A1</t>
  </si>
  <si>
    <t>GHI MEDB</t>
  </si>
  <si>
    <t>ISA*00*          *00*          *ZZ*COB            *ZZ*COBFEPWI       *210302*1246*^*00501*631703342*0*T*|</t>
  </si>
  <si>
    <t>GS*HC*COB*COBFEPWI*20210302*1307*631703342*X*005010X222A1</t>
  </si>
  <si>
    <t>Institutional/CROSS ISA</t>
  </si>
  <si>
    <t>ISA*00*          *00*          *ZZ*MW55555P       *ZZ*FUSION         *210710*1100*^*00501*211921500*0*T*|</t>
  </si>
  <si>
    <t>GS*HC*MW55555P*FUSIONME*20210710*1100*211921500*X*005010X223A2</t>
  </si>
  <si>
    <t>ST*837*1002*005010X223A2</t>
  </si>
  <si>
    <t>BHT*0019*00*33154745403*20210708*135510*CH</t>
  </si>
  <si>
    <t>NM1*IL*1*Majumdar*Tridhara*K***MI*R83672956</t>
  </si>
  <si>
    <t>CLM*21192D931500FS04*197.55***13|A|1**A*Y*I</t>
  </si>
  <si>
    <t>GE*1*211921500</t>
  </si>
  <si>
    <t>IEA*1*211921500</t>
  </si>
  <si>
    <t>ISA*00*          *00*          *ZZ*PRSRCP         *ZZ*PRFUSNME       *210710*1100*^*00501*211921800*0*T*|</t>
  </si>
  <si>
    <t>GS*HC*PRSRCP*PRFUSNME*20210710*1100*211921800*X*005010X223A2</t>
  </si>
  <si>
    <t>NM1*IL*1*Hembree*Shaukat****MI*R83673607</t>
  </si>
  <si>
    <t>CLM*21192D931800FS04*197.55***13|A|1**A*Y*I</t>
  </si>
  <si>
    <t>REF*D9*21192D931800</t>
  </si>
  <si>
    <t>GE*1*211921800</t>
  </si>
  <si>
    <t>IEA*1*211921800</t>
  </si>
  <si>
    <t>ISA*00*          *00*          *ZZ*MW55555P       *ZZ*WLPFUSNME      *210710*1100*^*00501*211921600*0*T*|</t>
  </si>
  <si>
    <t>GS*HC*MW55555P*WLPFUSNME*20210710*1100*211921600*X*005010X223A2</t>
  </si>
  <si>
    <t>BHT*0019*00*33154745403*20210710*135510*CH</t>
  </si>
  <si>
    <t>NM1*IL*1*COOK*Iseabal*L***MI*R83673958</t>
  </si>
  <si>
    <t>CLM*21192D931600FS04*197.55***13|A|1**A*Y*I</t>
  </si>
  <si>
    <t>GE*1*211921600</t>
  </si>
  <si>
    <t>IEA*1*211921600</t>
  </si>
  <si>
    <t>ISA*00*          *00*          *ZZ*ANTHEM         *ZZ*FEP            *210605*1329*^*00501*128294993*1*T*|</t>
  </si>
  <si>
    <t>GS*HC*ANTHEM*FEPGA*20210605*132903*144619476*X*005010X223A2</t>
  </si>
  <si>
    <t>ST*837*0001*005010X223A2</t>
  </si>
  <si>
    <t>BHT*0019*00*309132903*20210605*132903*CH</t>
  </si>
  <si>
    <t>NM1*IL*1*James*Norman****MI*R91656631</t>
  </si>
  <si>
    <t>CLM*CMPK99008B*845***81|A|1**A*Y*Y</t>
  </si>
  <si>
    <t>REF*D9*CI20318235885422323</t>
  </si>
  <si>
    <t>GE*1*144619476</t>
  </si>
  <si>
    <t>IEA*1*128294993</t>
  </si>
  <si>
    <t>ISA*00*          *00*          *ZZ*ANTHEM         *ZZ*PROFEPVA       *210605*1731*^*00501*148294972*0*T*|</t>
  </si>
  <si>
    <t>GS*HC*ANTHEM*PROFEPVA*20210605*1749*492706058*X*005010X223A2</t>
  </si>
  <si>
    <t>ST*837*1001*005010X223A2</t>
  </si>
  <si>
    <t>BHT*0019*00*20856043923*20210605*174915*CH</t>
  </si>
  <si>
    <t>NM1*IL*1*MATT*KENNRIK****MI*R11111111</t>
  </si>
  <si>
    <t>CLM*VAY65996*3054***11|A|1**A*Y*Y</t>
  </si>
  <si>
    <t>REF*D9*20318D420112</t>
  </si>
  <si>
    <t>GE*1*492706058</t>
  </si>
  <si>
    <t>IEA*1*148294972</t>
  </si>
  <si>
    <t>GHI MEDA</t>
  </si>
  <si>
    <t>ISA*00*          *00*          *ZZ*COB            *ZZ*COBFEPNV       *210605*1731*^*00501*128294964*0*T*|</t>
  </si>
  <si>
    <t>GS*HC*COB*COBFEPWI*20210605*1749*492706058*X*005010X223A2</t>
  </si>
  <si>
    <t>REF*D9*CI20318235885422294</t>
  </si>
  <si>
    <t>IEA*1*128294964</t>
  </si>
  <si>
    <t>ISA*00*          *00*          *ZZ*ANTHEM         *ZZ*FEP            *201106*0431*^*00501*128294884*0*T*|</t>
  </si>
  <si>
    <t>GS*HC*ANTHEM*FEPCA*20201106*0505*480061051*X*005010X224A2</t>
  </si>
  <si>
    <t>ST*837*2604*005010X224A2</t>
  </si>
  <si>
    <t>BHT*0019*00*20295609937*20201106*050506*CH</t>
  </si>
  <si>
    <t>NM1*IL*1*LILLY*ANU****MI*R11111111</t>
  </si>
  <si>
    <t>CLM*1105733P1318715*335***11|B|1*Y*A*Y*Y</t>
  </si>
  <si>
    <t>REF*D9*20318D420100</t>
  </si>
  <si>
    <t>GE*1*480061051</t>
  </si>
  <si>
    <t>IEA*1*128294884</t>
  </si>
  <si>
    <t>ISA*00*          *00*          *ZZ*ANTHEM         *ZZ*PROFEPGA       *201106*0431*^*00501*128294884*0*T*|</t>
  </si>
  <si>
    <t>GS*HC*ANTHEM*PROFEPGA*20201106*0505*480061051*X*005010X224A2</t>
  </si>
  <si>
    <t>NM1*IL*1*LILLY*ANU****MI*R91656630</t>
  </si>
  <si>
    <t>REF*D9*20318D420101</t>
  </si>
  <si>
    <t>Counter</t>
  </si>
  <si>
    <t>R1199</t>
  </si>
  <si>
    <t>version 1.1.0</t>
  </si>
  <si>
    <t>ISA*00*          *00*          *ZZ*PRSRCP         *ZZ*PRFUSNCO       *210615*1610*^*00501*212015501*1*T*|</t>
  </si>
  <si>
    <t>GS*HC*PRSRCP*PRFUSNCO*20210615*1610*212015501*X*005010X222A1</t>
  </si>
  <si>
    <t>BHT*0019*00*25476212296*20210615*130710*CH</t>
  </si>
  <si>
    <t>NM1*41*2*FEP INDY IT*****46*ANTHEM</t>
  </si>
  <si>
    <t>PER*IC*AVAILITY CLIENT SERVICES*TE*8002824548*FX*9044702187*EM*SUPPORT@TDM.COM</t>
  </si>
  <si>
    <t>NM1*40*2*ANTHEM BLUE CROSS AND BLUE SHIELD*****46*00630</t>
  </si>
  <si>
    <t>HL*1**20*1</t>
  </si>
  <si>
    <t>PRV*BI*PXC*193200000X</t>
  </si>
  <si>
    <t>NM1*85*2*HALDI HEALTHCARE SERVICES INC*****XX*1427539238</t>
  </si>
  <si>
    <t>N3*200 SPRING FOREST RD.</t>
  </si>
  <si>
    <t>N4*RALEIGH*CO*276162816</t>
  </si>
  <si>
    <t>REF*EI*311679605</t>
  </si>
  <si>
    <t>PER*IC*HALDI HEALTHCARE SERVICES INC*TE*8006482596</t>
  </si>
  <si>
    <t>HL*2*1*22*0</t>
  </si>
  <si>
    <t>SBR*P*18*65006500******BL</t>
  </si>
  <si>
    <t>NM1*IL*1*KAMY*NITHI*F***MI*R11955501</t>
  </si>
  <si>
    <t>N3*200 E MCKAY RD</t>
  </si>
  <si>
    <t>N4*SHELBYVILLE*CO*46176</t>
  </si>
  <si>
    <t>DMG*D8*19380912*F</t>
  </si>
  <si>
    <t>NM1*PR*2*ANTHEM BLUE CROSS AND BLUE SHIELD*****PI*00630</t>
  </si>
  <si>
    <t>CLM*21201D075501FS02*403.22***11|B|1*Y*A*Y*Y</t>
  </si>
  <si>
    <t>DTP*454*D8*20201208</t>
  </si>
  <si>
    <t>REF*D9*21201D075501</t>
  </si>
  <si>
    <t>REF*EA*2184157</t>
  </si>
  <si>
    <t>HI*ABK|M6281*ABF|R2681</t>
  </si>
  <si>
    <t>NM1*DN*1*PUSHPA*OCTA****XX*1104009430</t>
  </si>
  <si>
    <t>NM1*82*1*BAJJI*JENET****XX*1134258932</t>
  </si>
  <si>
    <t>PRV*PE*PXC*225100000X</t>
  </si>
  <si>
    <t>NM1*77*2*HALDI HEALTHCARE SERVICES INC</t>
  </si>
  <si>
    <t>N3*450 E. MCKAY ROAD</t>
  </si>
  <si>
    <t>N4*SHELBYVILLE*CO*461768749</t>
  </si>
  <si>
    <t>LX*1</t>
  </si>
  <si>
    <t>SV1*HC|97110|GP*71.48*UN*2***1|2</t>
  </si>
  <si>
    <t>DTP*472*D8*20210601</t>
  </si>
  <si>
    <t>REF*6R*148417670001</t>
  </si>
  <si>
    <t>LX*2</t>
  </si>
  <si>
    <t>SV1*HC|97112|GP*82.9*UN*2***1|2</t>
  </si>
  <si>
    <t>DTP*472*D8*20210201</t>
  </si>
  <si>
    <t>REF*6R*148417670002</t>
  </si>
  <si>
    <t>LX*3</t>
  </si>
  <si>
    <t>SV1*HC|97116|GP*71.48*UN*2***1|2</t>
  </si>
  <si>
    <t>REF*6R*148417670003</t>
  </si>
  <si>
    <t>LX*4</t>
  </si>
  <si>
    <t>SV1*HC|97530|GO|KX*137.7*UN*3***1|2</t>
  </si>
  <si>
    <t>REF*6R*148417670004</t>
  </si>
  <si>
    <t>NM1*82*1*BAJJI*JENET****XX*1730463027</t>
  </si>
  <si>
    <t>PRV*PE*PXC*225X00000X</t>
  </si>
  <si>
    <t>LX*5</t>
  </si>
  <si>
    <t>SV1*HC|97535|GO|XU|KX*39.66*UN*1***1|2</t>
  </si>
  <si>
    <t>REF*6R*148417670005</t>
  </si>
  <si>
    <t>SE*53*1114</t>
  </si>
  <si>
    <t>GE*1*212015501</t>
  </si>
  <si>
    <t>IEA*1*212015501</t>
  </si>
  <si>
    <t>CA,  CO,  CT,  GA,  IN,  KY,  ME,  MO,  NH,  NV,  NY,  OH,  VA, WI</t>
  </si>
  <si>
    <t>1. FHPS&lt;STATE CODE&gt;.&lt;T&gt;.&lt;SOURCE&gt;.&lt;CLAIMTYPE&gt;.&lt;FILECOUNT&gt;.&lt;3_seq&gt;.&lt;CCYY-MM-DD-HH-MM-SS&gt;.txt</t>
  </si>
  <si>
    <t>2. FHPS&lt;STATE CODE&gt;.&lt;T&gt;.&lt;SOURCE&gt;.&lt;CLAIMTYPE&gt;.&lt;FILECOUNT&gt;.&lt;3_seq&gt;.&lt;CCYYMMDDHHMMSS&gt;.txt</t>
  </si>
  <si>
    <r>
      <t>1. FHPSCA.T.PPR.CROSS.7.001.</t>
    </r>
    <r>
      <rPr>
        <sz val="11"/>
        <color rgb="FFFF0000"/>
        <rFont val="Calibri"/>
        <family val="2"/>
      </rPr>
      <t>2020-06-23-02-30-35</t>
    </r>
    <r>
      <rPr>
        <sz val="11"/>
        <color rgb="FF1F497D"/>
        <rFont val="Calibri"/>
        <family val="2"/>
      </rPr>
      <t>.txt</t>
    </r>
  </si>
  <si>
    <r>
      <t>2. FHPSKY.T.EDI.MEDB.1.789.</t>
    </r>
    <r>
      <rPr>
        <sz val="11"/>
        <color rgb="FFFF0000"/>
        <rFont val="Calibri"/>
        <family val="2"/>
      </rPr>
      <t>20200630102551</t>
    </r>
    <r>
      <rPr>
        <sz val="11"/>
        <color rgb="FF1F497D"/>
        <rFont val="Calibri"/>
        <family val="2"/>
      </rPr>
      <t>.txt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</si>
</sst>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8"/>
      <color rgb="FF3E3E3E"/>
      <name val="Courier New"/>
      <family val="3"/>
    </font>
    <font>
      <sz val="14"/>
      <name val="Cambria"/>
      <family val="1"/>
    </font>
    <font>
      <b/>
      <sz val="10"/>
      <name val="Arial"/>
      <family val="2"/>
    </font>
    <font>
      <b/>
      <sz val="11"/>
      <name val="Calibri"/>
      <family val="2"/>
    </font>
    <font>
      <sz val="11"/>
      <color rgb="FF1F497D"/>
      <name val="Calibri"/>
      <family val="2"/>
    </font>
    <font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0" borderId="0" applyFill="0">
      <alignment vertical="top" wrapText="1"/>
    </xf>
    <xf numFmtId="0" fontId="5" fillId="0" borderId="0"/>
    <xf numFmtId="0" fontId="1" fillId="0" borderId="0"/>
  </cellStyleXfs>
  <cellXfs count="16">
    <xf numFmtId="0" fontId="0" fillId="0" borderId="0" xfId="0"/>
    <xf numFmtId="0" fontId="2" fillId="2" borderId="1" xfId="1" applyNumberFormat="1" applyBorder="1"/>
    <xf numFmtId="0" fontId="2" fillId="2" borderId="1" xfId="1" applyNumberFormat="1" applyBorder="1" applyAlignment="1">
      <alignment wrapText="1"/>
    </xf>
    <xf numFmtId="0" fontId="0" fillId="0" borderId="0" xfId="0" applyAlignment="1">
      <alignment wrapText="1"/>
    </xf>
    <xf numFmtId="49" fontId="3" fillId="0" borderId="0" xfId="0" quotePrefix="1" applyNumberFormat="1" applyFont="1"/>
    <xf numFmtId="49" fontId="0" fillId="0" borderId="0" xfId="0" applyNumberFormat="1"/>
    <xf numFmtId="0" fontId="2" fillId="2" borderId="2" xfId="1" applyNumberFormat="1" applyBorder="1" applyAlignment="1">
      <alignment wrapText="1"/>
    </xf>
    <xf numFmtId="0" fontId="3" fillId="0" borderId="0" xfId="0" applyFont="1"/>
    <xf numFmtId="0" fontId="7" fillId="0" borderId="0" xfId="0" applyFont="1"/>
    <xf numFmtId="0" fontId="8" fillId="0" borderId="0" xfId="0" applyFont="1"/>
    <xf numFmtId="0" fontId="0" fillId="3" borderId="0" xfId="0" applyFill="1"/>
    <xf numFmtId="0" fontId="3" fillId="3" borderId="0" xfId="0" applyFont="1" applyFill="1"/>
    <xf numFmtId="0" fontId="6" fillId="4" borderId="0" xfId="0" applyFont="1" applyFill="1"/>
    <xf numFmtId="0" fontId="9" fillId="4" borderId="0" xfId="0" applyFont="1" applyFill="1"/>
    <xf numFmtId="0" fontId="10" fillId="0" borderId="0" xfId="0" applyFont="1" applyAlignment="1">
      <alignment horizontal="left" vertical="center" indent="1"/>
    </xf>
    <xf numFmtId="0" fontId="11" fillId="0" borderId="0" xfId="0" applyFont="1" applyAlignment="1">
      <alignment horizontal="left" vertical="center" indent="1"/>
    </xf>
  </cellXfs>
  <cellStyles count="5">
    <cellStyle name="60% - Accent1" xfId="1" builtinId="32"/>
    <cellStyle name="Normal" xfId="0" builtinId="0"/>
    <cellStyle name="Normal 10" xfId="4" xr:uid="{00000000-0005-0000-0000-000002000000}"/>
    <cellStyle name="Normal 2" xfId="2" xr:uid="{00000000-0005-0000-0000-000003000000}"/>
    <cellStyle name="Normal 3" xfId="3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2.5" x14ac:dyDescent="0.25"/>
  <cols>
    <col min="1" max="1" width="19.81640625" customWidth="1"/>
    <col min="2" max="2" width="9.54296875" style="3" bestFit="1" customWidth="1"/>
    <col min="3" max="3" width="34.7265625" bestFit="1" customWidth="1"/>
    <col min="4" max="4" width="9.1796875" customWidth="1"/>
    <col min="5" max="5" width="17.81640625" bestFit="1" customWidth="1"/>
    <col min="6" max="6" width="37.1796875" bestFit="1" customWidth="1"/>
    <col min="7" max="7" width="11.1796875" customWidth="1"/>
  </cols>
  <sheetData>
    <row r="1" spans="1:11" ht="14.5" x14ac:dyDescent="0.35">
      <c r="A1" s="2" t="s">
        <v>4</v>
      </c>
      <c r="B1" s="2" t="s">
        <v>3</v>
      </c>
      <c r="C1" s="1" t="s">
        <v>0</v>
      </c>
      <c r="D1" s="2" t="s">
        <v>2</v>
      </c>
      <c r="E1" s="2" t="s">
        <v>1</v>
      </c>
      <c r="F1" s="6" t="s">
        <v>5</v>
      </c>
      <c r="G1" s="6" t="s">
        <v>12</v>
      </c>
    </row>
    <row r="2" spans="1:11" x14ac:dyDescent="0.25">
      <c r="A2" t="s">
        <v>9</v>
      </c>
      <c r="B2" s="3" t="s">
        <v>11</v>
      </c>
      <c r="C2" t="s">
        <v>10</v>
      </c>
      <c r="D2" t="s">
        <v>6</v>
      </c>
      <c r="E2" t="s">
        <v>7</v>
      </c>
      <c r="F2" t="s">
        <v>8</v>
      </c>
      <c r="G2" s="5" t="s">
        <v>13</v>
      </c>
      <c r="H2" s="5"/>
      <c r="I2" s="4"/>
      <c r="J2" s="5"/>
      <c r="K2" s="5"/>
    </row>
    <row r="3" spans="1:11" x14ac:dyDescent="0.25">
      <c r="A3" t="s">
        <v>9</v>
      </c>
      <c r="B3" s="3" t="s">
        <v>11</v>
      </c>
      <c r="C3" t="s">
        <v>10</v>
      </c>
      <c r="D3" t="s">
        <v>6</v>
      </c>
      <c r="E3" t="s">
        <v>7</v>
      </c>
      <c r="F3" t="s">
        <v>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06C0E-6DC8-447A-9F4C-CDD959FD52DD}">
  <sheetPr codeName="Sheet2"/>
  <dimension ref="A1:AC27"/>
  <sheetViews>
    <sheetView tabSelected="1" workbookViewId="0">
      <selection activeCell="A3" sqref="A3"/>
    </sheetView>
  </sheetViews>
  <sheetFormatPr defaultRowHeight="12.5" x14ac:dyDescent="0.25"/>
  <cols>
    <col min="1" max="1" width="17" bestFit="1" customWidth="1"/>
    <col min="2" max="2" width="15.54296875" bestFit="1" customWidth="1"/>
    <col min="3" max="3" width="8.54296875" customWidth="1"/>
    <col min="4" max="4" width="15.7265625" bestFit="1" customWidth="1"/>
    <col min="5" max="5" width="9.90625" bestFit="1" customWidth="1"/>
    <col min="6" max="6" width="13.36328125" bestFit="1" customWidth="1"/>
    <col min="7" max="7" width="12.36328125" bestFit="1" customWidth="1"/>
    <col min="8" max="8" width="9.81640625" bestFit="1" customWidth="1"/>
    <col min="9" max="9" width="15.6328125" bestFit="1" customWidth="1"/>
    <col min="10" max="10" width="14.7265625" bestFit="1" customWidth="1"/>
    <col min="11" max="11" width="15" bestFit="1" customWidth="1"/>
    <col min="12" max="12" width="15.26953125" bestFit="1" customWidth="1"/>
    <col min="17" max="17" width="11.08984375" bestFit="1" customWidth="1"/>
    <col min="19" max="19" width="9.7265625" bestFit="1" customWidth="1"/>
    <col min="20" max="20" width="91.6328125" bestFit="1" customWidth="1"/>
    <col min="21" max="21" width="68.26953125" bestFit="1" customWidth="1"/>
    <col min="22" max="22" width="24.90625" bestFit="1" customWidth="1"/>
    <col min="23" max="23" width="42.81640625" bestFit="1" customWidth="1"/>
    <col min="24" max="24" width="43" bestFit="1" customWidth="1"/>
    <col min="25" max="25" width="25.54296875" customWidth="1"/>
    <col min="26" max="26" width="27.90625" bestFit="1" customWidth="1"/>
    <col min="27" max="27" width="43.54296875" bestFit="1" customWidth="1"/>
    <col min="28" max="28" width="44.26953125" bestFit="1" customWidth="1"/>
    <col min="29" max="29" width="35.36328125" bestFit="1" customWidth="1"/>
  </cols>
  <sheetData>
    <row r="1" spans="1:29" ht="14.5" x14ac:dyDescent="0.35">
      <c r="A1" s="12" t="s">
        <v>14</v>
      </c>
      <c r="B1" s="12" t="s">
        <v>15</v>
      </c>
      <c r="C1" s="12" t="s">
        <v>145</v>
      </c>
      <c r="D1" s="12" t="s">
        <v>32</v>
      </c>
      <c r="E1" s="12" t="s">
        <v>29</v>
      </c>
      <c r="F1" s="12" t="s">
        <v>30</v>
      </c>
      <c r="G1" s="12" t="s">
        <v>18</v>
      </c>
      <c r="H1" s="12" t="s">
        <v>16</v>
      </c>
      <c r="I1" s="12" t="s">
        <v>21</v>
      </c>
      <c r="J1" s="12" t="s">
        <v>17</v>
      </c>
      <c r="K1" s="12" t="s">
        <v>19</v>
      </c>
      <c r="L1" s="12" t="s">
        <v>20</v>
      </c>
      <c r="M1" s="13" t="s">
        <v>31</v>
      </c>
      <c r="N1" s="12" t="s">
        <v>33</v>
      </c>
      <c r="O1" s="13" t="s">
        <v>34</v>
      </c>
      <c r="P1" s="12" t="s">
        <v>35</v>
      </c>
      <c r="Q1" s="13" t="s">
        <v>36</v>
      </c>
      <c r="R1" s="12" t="s">
        <v>38</v>
      </c>
      <c r="S1" s="12" t="s">
        <v>25</v>
      </c>
      <c r="T1" s="12" t="s">
        <v>45</v>
      </c>
      <c r="U1" s="12" t="s">
        <v>46</v>
      </c>
      <c r="V1" s="12" t="s">
        <v>47</v>
      </c>
      <c r="W1" s="12" t="s">
        <v>48</v>
      </c>
      <c r="X1" s="12" t="s">
        <v>49</v>
      </c>
      <c r="Y1" s="12" t="s">
        <v>50</v>
      </c>
      <c r="Z1" s="12" t="s">
        <v>51</v>
      </c>
      <c r="AA1" s="12" t="s">
        <v>23</v>
      </c>
      <c r="AB1" s="12" t="s">
        <v>22</v>
      </c>
      <c r="AC1" s="12" t="s">
        <v>24</v>
      </c>
    </row>
    <row r="2" spans="1:29" ht="17.5" x14ac:dyDescent="0.35">
      <c r="A2">
        <v>161</v>
      </c>
      <c r="B2">
        <v>21197</v>
      </c>
      <c r="C2">
        <v>161</v>
      </c>
      <c r="D2">
        <v>5500</v>
      </c>
      <c r="E2">
        <v>20210615</v>
      </c>
      <c r="F2" t="str">
        <f>RIGHT(E2,LEN(E2)-2)</f>
        <v>210615</v>
      </c>
      <c r="G2" s="7" t="s">
        <v>146</v>
      </c>
      <c r="H2" t="str">
        <f>B2&amp;D2+C2</f>
        <v>211975661</v>
      </c>
      <c r="I2" t="str">
        <f>B2&amp;"D07"&amp;C2+D2</f>
        <v>21197D075661</v>
      </c>
      <c r="J2" s="7" t="str">
        <f>G2&amp;D2+C2</f>
        <v>R11995661</v>
      </c>
      <c r="K2" t="str">
        <f>"GE*1*"&amp;H2</f>
        <v>GE*1*211975661</v>
      </c>
      <c r="L2" t="str">
        <f>"IEA*1*"&amp;H2</f>
        <v>IEA*1*211975661</v>
      </c>
      <c r="M2" s="9" t="s">
        <v>201</v>
      </c>
      <c r="N2">
        <v>1</v>
      </c>
      <c r="O2">
        <v>2</v>
      </c>
      <c r="P2">
        <v>2</v>
      </c>
      <c r="Q2" s="7" t="s">
        <v>147</v>
      </c>
      <c r="R2" t="s">
        <v>39</v>
      </c>
      <c r="S2" s="7" t="s">
        <v>26</v>
      </c>
      <c r="T2" t="str">
        <f>"ISA*00*          *00*          *ZZ*MW55555P       *ZZ*FUSION         *"&amp;F$2&amp;"*1100*^*00501*"&amp;H$2&amp;"*0*T*|"</f>
        <v>ISA*00*          *00*          *ZZ*MW55555P       *ZZ*FUSION         *210615*1100*^*00501*211975661*0*T*|</v>
      </c>
      <c r="U2" t="str">
        <f>"GS*HC*MW55555P*FUSIONME*"&amp;E$2&amp;"*1119*"&amp;H$2&amp;"*X*005010X222A1"</f>
        <v>GS*HC*MW55555P*FUSIONME*20210615*1119*211975661*X*005010X222A1</v>
      </c>
      <c r="V2" t="s">
        <v>56</v>
      </c>
      <c r="W2" s="7" t="str">
        <f t="shared" ref="W2:W7" si="0">"BHT*0019*00*31697028806*"&amp;E$2&amp;"*111906*CH"</f>
        <v>BHT*0019*00*31697028806*20210615*111906*CH</v>
      </c>
      <c r="X2" s="7" t="str">
        <f>"NM1*IL*1*DANSEREAU*MARK****MI*"&amp;J$2</f>
        <v>NM1*IL*1*DANSEREAU*MARK****MI*R11995661</v>
      </c>
      <c r="Y2" s="7" t="str">
        <f>"CLM*"&amp;I$3&amp;"FS04"</f>
        <v>CLM*CP21197D075661FS04</v>
      </c>
      <c r="Z2" s="7" t="str">
        <f>"REF*D9*"&amp;I$3</f>
        <v>REF*D9*CP21197D075661</v>
      </c>
      <c r="AA2" t="str">
        <f>"CLM*"&amp;I2&amp;"FS02*403.22***11|B|1*Y*A*Y*Y"</f>
        <v>CLM*21197D075661FS02*403.22***11|B|1*Y*A*Y*Y</v>
      </c>
      <c r="AB2" s="7" t="str">
        <f>"CLM*"&amp;I2&amp;"FS04*403.22***11|B|1*Y*A*Y*Y"</f>
        <v>CLM*21197D075661FS04*403.22***11|B|1*Y*A*Y*Y</v>
      </c>
      <c r="AC2" t="str">
        <f>"NM1*IL*1*KAMY*NITHI*F***MI*"&amp;J2</f>
        <v>NM1*IL*1*KAMY*NITHI*F***MI*R11995661</v>
      </c>
    </row>
    <row r="3" spans="1:29" ht="14.5" x14ac:dyDescent="0.25">
      <c r="A3" s="14" t="s">
        <v>202</v>
      </c>
      <c r="I3" t="str">
        <f>"CP"&amp;I$2</f>
        <v>CP21197D075661</v>
      </c>
      <c r="K3" s="7"/>
      <c r="L3" s="7"/>
      <c r="R3" t="s">
        <v>39</v>
      </c>
      <c r="S3" s="7" t="s">
        <v>28</v>
      </c>
      <c r="T3" t="str">
        <f>"ISA*00*          *00*          *ZZ*PRSRCP         *ZZ*PRFUSNME       *"&amp;F$2&amp;"*1100*^*00501*"&amp;H$2&amp;"*0*T*|"</f>
        <v>ISA*00*          *00*          *ZZ*PRSRCP         *ZZ*PRFUSNME       *210615*1100*^*00501*211975661*0*T*|</v>
      </c>
      <c r="U3" t="str">
        <f>"GS*HC*PRSRCP*PRFUSNME*"&amp;E$2&amp;"*1119*"&amp;H$2&amp;"*X*005010X222A1"</f>
        <v>GS*HC*PRSRCP*PRFUSNME*20210615*1119*211975661*X*005010X222A1</v>
      </c>
      <c r="V3" t="s">
        <v>56</v>
      </c>
      <c r="W3" s="7" t="str">
        <f t="shared" si="0"/>
        <v>BHT*0019*00*31697028806*20210615*111906*CH</v>
      </c>
      <c r="X3" s="7" t="str">
        <f t="shared" ref="X3:X4" si="1">"NM1*IL*1*DANSEREAU*MARK****MI*"&amp;J$2</f>
        <v>NM1*IL*1*DANSEREAU*MARK****MI*R11995661</v>
      </c>
      <c r="Y3" s="7" t="str">
        <f t="shared" ref="Y3:Y4" si="2">"CLM*"&amp;I$3&amp;"FS04"</f>
        <v>CLM*CP21197D075661FS04</v>
      </c>
      <c r="Z3" s="7" t="str">
        <f t="shared" ref="Z3:Z12" si="3">"REF*D9*"&amp;I$3</f>
        <v>REF*D9*CP21197D075661</v>
      </c>
      <c r="AB3" s="7"/>
      <c r="AC3" s="7"/>
    </row>
    <row r="4" spans="1:29" ht="14.5" x14ac:dyDescent="0.25">
      <c r="A4" s="14" t="s">
        <v>203</v>
      </c>
      <c r="I4" t="str">
        <f>"CI"&amp;I$2</f>
        <v>CI21197D075661</v>
      </c>
      <c r="R4" t="s">
        <v>39</v>
      </c>
      <c r="S4" s="7" t="s">
        <v>83</v>
      </c>
      <c r="T4" t="str">
        <f>"ISA*00*          *00*          *ZZ*MW55555P       *ZZ*WLPFUSNME      *"&amp;F$2&amp;"*1100*^*00501*"&amp;H$2&amp;"*0*T*|"</f>
        <v>ISA*00*          *00*          *ZZ*MW55555P       *ZZ*WLPFUSNME      *210615*1100*^*00501*211975661*0*T*|</v>
      </c>
      <c r="U4" t="str">
        <f>"GS*HC*MW55555P*WLPFUSNME*"&amp;E$2&amp;"*1119*"&amp;H$2&amp;"*X*005010X222A1"</f>
        <v>GS*HC*MW55555P*WLPFUSNME*20210615*1119*211975661*X*005010X222A1</v>
      </c>
      <c r="V4" t="s">
        <v>56</v>
      </c>
      <c r="W4" s="7" t="str">
        <f t="shared" si="0"/>
        <v>BHT*0019*00*31697028806*20210615*111906*CH</v>
      </c>
      <c r="X4" s="7" t="str">
        <f t="shared" si="1"/>
        <v>NM1*IL*1*DANSEREAU*MARK****MI*R11995661</v>
      </c>
      <c r="Y4" s="7" t="str">
        <f t="shared" si="2"/>
        <v>CLM*CP21197D075661FS04</v>
      </c>
      <c r="Z4" s="7" t="str">
        <f t="shared" si="3"/>
        <v>REF*D9*CP21197D075661</v>
      </c>
    </row>
    <row r="5" spans="1:29" ht="14.5" x14ac:dyDescent="0.25">
      <c r="A5" s="15" t="s">
        <v>204</v>
      </c>
      <c r="I5" t="str">
        <f>"CD"&amp;I$2</f>
        <v>CD21197D075661</v>
      </c>
      <c r="R5" s="10" t="s">
        <v>40</v>
      </c>
      <c r="S5" s="11" t="s">
        <v>26</v>
      </c>
      <c r="T5" t="str">
        <f>"ISA*00*          *00*          *ZZ*MW55555P       *ZZ*FUSION         *"&amp;F$2&amp;"*1100*^*00501*"&amp;H$2&amp;"*0*T*|"</f>
        <v>ISA*00*          *00*          *ZZ*MW55555P       *ZZ*FUSION         *210615*1100*^*00501*211975661*0*T*|</v>
      </c>
      <c r="U5" t="str">
        <f>"GS*HC*MW55555P*FUSIONME*"&amp;E$2&amp;"*1119*"&amp;H$2&amp;"*X*005010X222A1"</f>
        <v>GS*HC*MW55555P*FUSIONME*20210615*1119*211975661*X*005010X222A1</v>
      </c>
      <c r="V5" t="s">
        <v>56</v>
      </c>
      <c r="W5" s="7" t="str">
        <f t="shared" si="0"/>
        <v>BHT*0019*00*31697028806*20210615*111906*CH</v>
      </c>
      <c r="X5" t="str">
        <f>"NM1*IL*1*KAMY*NITHI*F***MI*"&amp;J$2</f>
        <v>NM1*IL*1*KAMY*NITHI*F***MI*R11995661</v>
      </c>
      <c r="Y5" s="7" t="str">
        <f>"CLM*"&amp;I$3&amp;"FS02"</f>
        <v>CLM*CP21197D075661FS02</v>
      </c>
      <c r="Z5" s="7" t="str">
        <f t="shared" si="3"/>
        <v>REF*D9*CP21197D075661</v>
      </c>
    </row>
    <row r="6" spans="1:29" ht="14.5" x14ac:dyDescent="0.25">
      <c r="A6" s="15" t="s">
        <v>205</v>
      </c>
      <c r="E6" s="8"/>
      <c r="F6" s="8"/>
      <c r="R6" s="10" t="s">
        <v>40</v>
      </c>
      <c r="S6" s="11" t="s">
        <v>28</v>
      </c>
      <c r="T6" t="str">
        <f>"ISA*00*          *00*          *ZZ*PRSRCP         *ZZ*PRFUSNME       *"&amp;F$2&amp;"*1100*^*00501*"&amp;H$2&amp;"*0*T*|"</f>
        <v>ISA*00*          *00*          *ZZ*PRSRCP         *ZZ*PRFUSNME       *210615*1100*^*00501*211975661*0*T*|</v>
      </c>
      <c r="U6" t="str">
        <f>"GS*HC*PRSRCP*PRFUSNME*"&amp;E$2&amp;"*1119*"&amp;H$2&amp;"*X*005010X222A1"</f>
        <v>GS*HC*PRSRCP*PRFUSNME*20210615*1119*211975661*X*005010X222A1</v>
      </c>
      <c r="V6" t="s">
        <v>56</v>
      </c>
      <c r="W6" s="7" t="str">
        <f t="shared" si="0"/>
        <v>BHT*0019*00*31697028806*20210615*111906*CH</v>
      </c>
      <c r="X6" t="str">
        <f>"NM1*IL*1*KAMY*NITHI*F***MI*"&amp;J$2</f>
        <v>NM1*IL*1*KAMY*NITHI*F***MI*R11995661</v>
      </c>
      <c r="Y6" s="7" t="str">
        <f t="shared" ref="Y6:Y7" si="4">"CLM*"&amp;I$3&amp;"FS02"</f>
        <v>CLM*CP21197D075661FS02</v>
      </c>
      <c r="Z6" s="7" t="str">
        <f t="shared" si="3"/>
        <v>REF*D9*CP21197D075661</v>
      </c>
    </row>
    <row r="7" spans="1:29" x14ac:dyDescent="0.25">
      <c r="R7" s="10" t="s">
        <v>40</v>
      </c>
      <c r="S7" s="11" t="s">
        <v>83</v>
      </c>
      <c r="T7" t="str">
        <f>"ISA*00*          *00*          *ZZ*MW55555P       *ZZ*WLPFUSNME      *"&amp;F$2&amp;"*1100*^*00501*"&amp;H$2&amp;"*0*T*|"</f>
        <v>ISA*00*          *00*          *ZZ*MW55555P       *ZZ*WLPFUSNME      *210615*1100*^*00501*211975661*0*T*|</v>
      </c>
      <c r="U7" t="str">
        <f>"GS*HC*MW55555P*WLPFUSNME*"&amp;E$2&amp;"*1119*"&amp;H$2&amp;"*X*005010X222A1"</f>
        <v>GS*HC*MW55555P*WLPFUSNME*20210615*1119*211975661*X*005010X222A1</v>
      </c>
      <c r="V7" t="s">
        <v>56</v>
      </c>
      <c r="W7" s="7" t="str">
        <f t="shared" si="0"/>
        <v>BHT*0019*00*31697028806*20210615*111906*CH</v>
      </c>
      <c r="X7" t="str">
        <f>"NM1*IL*1*KAMY*NITHI*F***MI*"&amp;J$2</f>
        <v>NM1*IL*1*KAMY*NITHI*F***MI*R11995661</v>
      </c>
      <c r="Y7" s="7" t="str">
        <f t="shared" si="4"/>
        <v>CLM*CP21197D075661FS02</v>
      </c>
      <c r="Z7" s="7" t="str">
        <f t="shared" si="3"/>
        <v>REF*D9*CP21197D075661</v>
      </c>
    </row>
    <row r="8" spans="1:29" x14ac:dyDescent="0.25">
      <c r="R8" t="s">
        <v>41</v>
      </c>
      <c r="S8" s="7" t="s">
        <v>26</v>
      </c>
      <c r="T8" t="str">
        <f>"ISA*00*          *00*          *ZZ*ANTHEM         *ZZ*FEP            *"&amp;F$2&amp;"*1246*^*00501*"&amp;H$2&amp;"*0*T*|"</f>
        <v>ISA*00*          *00*          *ZZ*ANTHEM         *ZZ*FEP            *210615*1246*^*00501*211975661*0*T*|</v>
      </c>
      <c r="U8" t="str">
        <f>"GS*HC*ANTHEM*FEPVA*"&amp;E2&amp;"*1307*"&amp;H2&amp;"*X*005010X222A1"</f>
        <v>GS*HC*ANTHEM*FEPVA*20210615*1307*211975661*X*005010X222A1</v>
      </c>
      <c r="V8" t="s">
        <v>43</v>
      </c>
      <c r="W8" s="7" t="str">
        <f>"BHT*0019*00*25476212296*"&amp;E2&amp;"*130710*CH"</f>
        <v>BHT*0019*00*25476212296*20210615*130710*CH</v>
      </c>
      <c r="X8" t="str">
        <f>"NM1*IL*1*KAMY*NITHI*F***MI*"&amp;J$2</f>
        <v>NM1*IL*1*KAMY*NITHI*F***MI*R11995661</v>
      </c>
      <c r="Y8" s="7" t="str">
        <f>"CLM*"&amp;I$3</f>
        <v>CLM*CP21197D075661</v>
      </c>
      <c r="Z8" s="7" t="str">
        <f t="shared" si="3"/>
        <v>REF*D9*CP21197D075661</v>
      </c>
    </row>
    <row r="9" spans="1:29" x14ac:dyDescent="0.25">
      <c r="R9" t="s">
        <v>41</v>
      </c>
      <c r="S9" s="7" t="s">
        <v>28</v>
      </c>
      <c r="T9" t="str">
        <f>"ISA*00*          *00*          *ZZ*ANTHEM         *ZZ*PROFEPCT       *"&amp;F2&amp;"*1246*^*00501*"&amp;H2&amp;"*0*T*|"</f>
        <v>ISA*00*          *00*          *ZZ*ANTHEM         *ZZ*PROFEPCT       *210615*1246*^*00501*211975661*0*T*|</v>
      </c>
      <c r="U9" t="str">
        <f>"GS*HC*ANTHEM*PROFEPCT*"&amp;E2&amp;"*1307*"&amp;H2&amp;"*X*005010X222A1"</f>
        <v>GS*HC*ANTHEM*PROFEPCT*20210615*1307*211975661*X*005010X222A1</v>
      </c>
      <c r="V9" t="s">
        <v>43</v>
      </c>
      <c r="W9" s="7" t="str">
        <f>"BHT*0019*00*25476212296*"&amp;E2&amp;"*130710*CH"</f>
        <v>BHT*0019*00*25476212296*20210615*130710*CH</v>
      </c>
      <c r="X9" t="str">
        <f t="shared" ref="X9:X10" si="5">"NM1*IL*1*KAMY*NITHI*F***MI*"&amp;J$2</f>
        <v>NM1*IL*1*KAMY*NITHI*F***MI*R11995661</v>
      </c>
      <c r="Y9" s="7" t="str">
        <f t="shared" ref="Y9:Y10" si="6">"CLM*"&amp;I$3</f>
        <v>CLM*CP21197D075661</v>
      </c>
      <c r="Z9" s="7" t="str">
        <f t="shared" si="3"/>
        <v>REF*D9*CP21197D075661</v>
      </c>
    </row>
    <row r="10" spans="1:29" x14ac:dyDescent="0.25">
      <c r="R10" t="s">
        <v>41</v>
      </c>
      <c r="S10" s="7" t="s">
        <v>83</v>
      </c>
      <c r="T10" t="str">
        <f>"ISA*00*          *00*          *ZZ*COB            *ZZ*COBFEPWI       *"&amp;F2&amp;"*1246*^*00501*"&amp;H2&amp;"*0*T*|"</f>
        <v>ISA*00*          *00*          *ZZ*COB            *ZZ*COBFEPWI       *210615*1246*^*00501*211975661*0*T*|</v>
      </c>
      <c r="U10" t="str">
        <f>"GS*HC*COB*COBFEPWI*"&amp;E2&amp;"*1307*"&amp;H2&amp;"*X*005010X222A1"</f>
        <v>GS*HC*COB*COBFEPWI*20210615*1307*211975661*X*005010X222A1</v>
      </c>
      <c r="V10" t="s">
        <v>43</v>
      </c>
      <c r="W10" s="7" t="str">
        <f>"BHT*0019*00*25476212296*"&amp;E2&amp;"*130710*CH"</f>
        <v>BHT*0019*00*25476212296*20210615*130710*CH</v>
      </c>
      <c r="X10" t="str">
        <f t="shared" si="5"/>
        <v>NM1*IL*1*KAMY*NITHI*F***MI*R11995661</v>
      </c>
      <c r="Y10" s="7" t="str">
        <f t="shared" si="6"/>
        <v>CLM*CP21197D075661</v>
      </c>
      <c r="Z10" s="7" t="str">
        <f t="shared" si="3"/>
        <v>REF*D9*CP21197D075661</v>
      </c>
    </row>
    <row r="11" spans="1:29" ht="14.5" x14ac:dyDescent="0.35">
      <c r="R11" s="12" t="s">
        <v>38</v>
      </c>
      <c r="S11" s="12" t="s">
        <v>25</v>
      </c>
      <c r="T11" s="12" t="s">
        <v>86</v>
      </c>
      <c r="U11" s="12" t="s">
        <v>46</v>
      </c>
      <c r="V11" s="12" t="s">
        <v>47</v>
      </c>
      <c r="W11" s="12" t="s">
        <v>48</v>
      </c>
      <c r="X11" s="12" t="s">
        <v>49</v>
      </c>
      <c r="Y11" s="12" t="s">
        <v>50</v>
      </c>
      <c r="Z11" s="12" t="s">
        <v>51</v>
      </c>
    </row>
    <row r="12" spans="1:29" x14ac:dyDescent="0.25">
      <c r="R12" t="s">
        <v>39</v>
      </c>
      <c r="S12" s="7" t="s">
        <v>26</v>
      </c>
      <c r="T12" t="str">
        <f>"ISA*00*          *00*          *ZZ*MW55555P       *ZZ*FUSION         *"&amp;F$2&amp;"*1100*^*00501*"&amp;H$2&amp;"*0*T*|"</f>
        <v>ISA*00*          *00*          *ZZ*MW55555P       *ZZ*FUSION         *210615*1100*^*00501*211975661*0*T*|</v>
      </c>
      <c r="U12" t="str">
        <f>"GS*HC*MW55555P*FUSIONME*"&amp;E$2&amp;"*1100*"&amp;H$2&amp;"*X*005010X223A2"</f>
        <v>GS*HC*MW55555P*FUSIONME*20210615*1100*211975661*X*005010X223A2</v>
      </c>
      <c r="V12" t="s">
        <v>89</v>
      </c>
      <c r="W12" s="7" t="str">
        <f t="shared" ref="W12:W17" si="7">"BHT*0019*00*33154745403*"&amp;E$2&amp;"*135510*CH"</f>
        <v>BHT*0019*00*33154745403*20210615*135510*CH</v>
      </c>
      <c r="X12" t="str">
        <f>"NM1*IL*1*Majumdar*Tridhara*K***MI*"&amp;J$2</f>
        <v>NM1*IL*1*Majumdar*Tridhara*K***MI*R11995661</v>
      </c>
      <c r="Y12" s="7" t="str">
        <f>"CLM*"&amp;I$4&amp;"FS04"</f>
        <v>CLM*CI21197D075661FS04</v>
      </c>
      <c r="Z12" s="7" t="str">
        <f>"REF*D9*"&amp;I$4</f>
        <v>REF*D9*CI21197D075661</v>
      </c>
    </row>
    <row r="13" spans="1:29" x14ac:dyDescent="0.25">
      <c r="R13" t="s">
        <v>39</v>
      </c>
      <c r="S13" s="7" t="s">
        <v>28</v>
      </c>
      <c r="T13" t="str">
        <f>"ISA*00*          *00*          *ZZ*PRSRCP         *ZZ*PRFUSNME       *"&amp;F$2&amp;"*1100*^*00501*"&amp;H$2&amp;"*0*T*|"</f>
        <v>ISA*00*          *00*          *ZZ*PRSRCP         *ZZ*PRFUSNME       *210615*1100*^*00501*211975661*0*T*|</v>
      </c>
      <c r="U13" t="str">
        <f>"GS*HC*PRSRCP*PRFUSNME*"&amp;E$2&amp;"*1100*"&amp;H$2&amp;"*X*005010X223A2"</f>
        <v>GS*HC*PRSRCP*PRFUSNME*20210615*1100*211975661*X*005010X223A2</v>
      </c>
      <c r="V13" t="s">
        <v>89</v>
      </c>
      <c r="W13" s="7" t="str">
        <f t="shared" si="7"/>
        <v>BHT*0019*00*33154745403*20210615*135510*CH</v>
      </c>
      <c r="X13" t="str">
        <f t="shared" ref="X13:X14" si="8">"NM1*IL*1*Majumdar*Tridhara*K***MI*"&amp;J$2</f>
        <v>NM1*IL*1*Majumdar*Tridhara*K***MI*R11995661</v>
      </c>
      <c r="Y13" s="7" t="str">
        <f t="shared" ref="Y13:Y14" si="9">"CLM*"&amp;I$4&amp;"FS04"</f>
        <v>CLM*CI21197D075661FS04</v>
      </c>
      <c r="Z13" s="7" t="str">
        <f t="shared" ref="Z13:Z22" si="10">"REF*D9*"&amp;I$4</f>
        <v>REF*D9*CI21197D075661</v>
      </c>
    </row>
    <row r="14" spans="1:29" x14ac:dyDescent="0.25">
      <c r="R14" t="s">
        <v>39</v>
      </c>
      <c r="S14" s="7" t="s">
        <v>127</v>
      </c>
      <c r="T14" t="str">
        <f>"ISA*00*          *00*          *ZZ*MW55555P       *ZZ*WLPFUSNME      *"&amp;F$2&amp;"*1100*^*00501*"&amp;H$2&amp;"*0*T*|"</f>
        <v>ISA*00*          *00*          *ZZ*MW55555P       *ZZ*WLPFUSNME      *210615*1100*^*00501*211975661*0*T*|</v>
      </c>
      <c r="U14" t="str">
        <f>"GS*HC*MW55555P*WLPFUSNME*"&amp;E$2&amp;"*1100*"&amp;H$2&amp;"*X*005010X223A2"</f>
        <v>GS*HC*MW55555P*WLPFUSNME*20210615*1100*211975661*X*005010X223A2</v>
      </c>
      <c r="V14" t="s">
        <v>89</v>
      </c>
      <c r="W14" s="7" t="str">
        <f t="shared" si="7"/>
        <v>BHT*0019*00*33154745403*20210615*135510*CH</v>
      </c>
      <c r="X14" t="str">
        <f t="shared" si="8"/>
        <v>NM1*IL*1*Majumdar*Tridhara*K***MI*R11995661</v>
      </c>
      <c r="Y14" s="7" t="str">
        <f t="shared" si="9"/>
        <v>CLM*CI21197D075661FS04</v>
      </c>
      <c r="Z14" s="7" t="str">
        <f t="shared" si="10"/>
        <v>REF*D9*CI21197D075661</v>
      </c>
    </row>
    <row r="15" spans="1:29" x14ac:dyDescent="0.25">
      <c r="R15" s="10" t="s">
        <v>40</v>
      </c>
      <c r="S15" s="11" t="s">
        <v>26</v>
      </c>
      <c r="T15" t="str">
        <f>"ISA*00*          *00*          *ZZ*MW55555P       *ZZ*FUSION         *"&amp;F$2&amp;"*1100*^*00501*"&amp;H$2&amp;"*0*T*|"</f>
        <v>ISA*00*          *00*          *ZZ*MW55555P       *ZZ*FUSION         *210615*1100*^*00501*211975661*0*T*|</v>
      </c>
      <c r="U15" t="str">
        <f>"GS*HC*MW55555P*FUSIONME*"&amp;E$2&amp;"*1100*"&amp;H$2&amp;"*X*005010X223A2"</f>
        <v>GS*HC*MW55555P*FUSIONME*20210615*1100*211975661*X*005010X223A2</v>
      </c>
      <c r="V15" t="s">
        <v>89</v>
      </c>
      <c r="W15" s="7" t="str">
        <f t="shared" si="7"/>
        <v>BHT*0019*00*33154745403*20210615*135510*CH</v>
      </c>
      <c r="X15" t="str">
        <f>"NM1*IL*1*James*Norman****MI*"&amp;J$2</f>
        <v>NM1*IL*1*James*Norman****MI*R11995661</v>
      </c>
      <c r="Y15" s="7" t="str">
        <f>"CLM*"&amp;I$4&amp;"FS02"</f>
        <v>CLM*CI21197D075661FS02</v>
      </c>
      <c r="Z15" s="7" t="str">
        <f t="shared" si="10"/>
        <v>REF*D9*CI21197D075661</v>
      </c>
    </row>
    <row r="16" spans="1:29" x14ac:dyDescent="0.25">
      <c r="R16" s="10" t="s">
        <v>40</v>
      </c>
      <c r="S16" s="11" t="s">
        <v>28</v>
      </c>
      <c r="T16" t="str">
        <f>"ISA*00*          *00*          *ZZ*PRSRCP         *ZZ*PRFUSNME       *"&amp;F$2&amp;"*1100*^*00501*"&amp;H$2&amp;"*0*T*|"</f>
        <v>ISA*00*          *00*          *ZZ*PRSRCP         *ZZ*PRFUSNME       *210615*1100*^*00501*211975661*0*T*|</v>
      </c>
      <c r="U16" t="str">
        <f>"GS*HC*PRSRCP*PRFUSNME*"&amp;E$2&amp;"*1100*"&amp;H$2&amp;"*X*005010X223A2"</f>
        <v>GS*HC*PRSRCP*PRFUSNME*20210615*1100*211975661*X*005010X223A2</v>
      </c>
      <c r="V16" t="s">
        <v>89</v>
      </c>
      <c r="W16" s="7" t="str">
        <f t="shared" si="7"/>
        <v>BHT*0019*00*33154745403*20210615*135510*CH</v>
      </c>
      <c r="X16" t="str">
        <f>"NM1*IL*1*James*Norman****MI*"&amp;J$2</f>
        <v>NM1*IL*1*James*Norman****MI*R11995661</v>
      </c>
      <c r="Y16" s="7" t="str">
        <f t="shared" ref="Y16:Y17" si="11">"CLM*"&amp;I$4&amp;"FS02"</f>
        <v>CLM*CI21197D075661FS02</v>
      </c>
      <c r="Z16" s="7" t="str">
        <f t="shared" si="10"/>
        <v>REF*D9*CI21197D075661</v>
      </c>
    </row>
    <row r="17" spans="18:26" x14ac:dyDescent="0.25">
      <c r="R17" s="10" t="s">
        <v>40</v>
      </c>
      <c r="S17" s="11" t="s">
        <v>127</v>
      </c>
      <c r="T17" t="str">
        <f>"ISA*00*          *00*          *ZZ*MW55555P       *ZZ*WLPFUSNME      *"&amp;F$2&amp;"*1100*^*00501*"&amp;H$2&amp;"*0*T*|"</f>
        <v>ISA*00*          *00*          *ZZ*MW55555P       *ZZ*WLPFUSNME      *210615*1100*^*00501*211975661*0*T*|</v>
      </c>
      <c r="U17" t="str">
        <f>"GS*HC*MW55555P*WLPFUSNME*"&amp;E$2&amp;"*1100*"&amp;H$2&amp;"*X*005010X223A2"</f>
        <v>GS*HC*MW55555P*WLPFUSNME*20210615*1100*211975661*X*005010X223A2</v>
      </c>
      <c r="V17" t="s">
        <v>89</v>
      </c>
      <c r="W17" s="7" t="str">
        <f t="shared" si="7"/>
        <v>BHT*0019*00*33154745403*20210615*135510*CH</v>
      </c>
      <c r="X17" t="str">
        <f>"NM1*IL*1*James*Norman****MI*"&amp;J$2</f>
        <v>NM1*IL*1*James*Norman****MI*R11995661</v>
      </c>
      <c r="Y17" s="7" t="str">
        <f t="shared" si="11"/>
        <v>CLM*CI21197D075661FS02</v>
      </c>
      <c r="Z17" s="7" t="str">
        <f t="shared" si="10"/>
        <v>REF*D9*CI21197D075661</v>
      </c>
    </row>
    <row r="18" spans="18:26" x14ac:dyDescent="0.25">
      <c r="R18" t="s">
        <v>41</v>
      </c>
      <c r="S18" s="7" t="s">
        <v>26</v>
      </c>
      <c r="T18" t="str">
        <f>"ISA*00*          *00*          *ZZ*ANTHEM         *ZZ*FEP            *"&amp;F2&amp;"*1329*^*00501*"&amp;H2&amp;"*1*T*|"</f>
        <v>ISA*00*          *00*          *ZZ*ANTHEM         *ZZ*FEP            *210615*1329*^*00501*211975661*1*T*|</v>
      </c>
      <c r="U18" t="str">
        <f>"GS*HC*ANTHEM*FEPGA*"&amp;E2&amp;"*132903*"&amp;H2&amp;"*X*005010X223A2"</f>
        <v>GS*HC*ANTHEM*FEPGA*20210615*132903*211975661*X*005010X223A2</v>
      </c>
      <c r="V18" t="s">
        <v>111</v>
      </c>
      <c r="W18" s="7" t="str">
        <f>"BHT*0019*00*33309132903*"&amp;E2&amp;"*132903*CH"</f>
        <v>BHT*0019*00*33309132903*20210615*132903*CH</v>
      </c>
      <c r="X18" t="str">
        <f>"NM1*IL*1*James*Norman****MI*"&amp;J$2</f>
        <v>NM1*IL*1*James*Norman****MI*R11995661</v>
      </c>
      <c r="Y18" s="7" t="str">
        <f>"CLM*"&amp;I$4</f>
        <v>CLM*CI21197D075661</v>
      </c>
      <c r="Z18" s="7" t="str">
        <f t="shared" si="10"/>
        <v>REF*D9*CI21197D075661</v>
      </c>
    </row>
    <row r="19" spans="18:26" x14ac:dyDescent="0.25">
      <c r="R19" t="s">
        <v>41</v>
      </c>
      <c r="S19" s="7" t="s">
        <v>28</v>
      </c>
      <c r="T19" t="str">
        <f>"ISA*00*          *00*          *ZZ*ANTHEM         *ZZ*PROFEPVA       *"&amp;F2&amp;"*1731*^*00501*"&amp;H2&amp;"*0*T*|"</f>
        <v>ISA*00*          *00*          *ZZ*ANTHEM         *ZZ*PROFEPVA       *210615*1731*^*00501*211975661*0*T*|</v>
      </c>
      <c r="U19" t="str">
        <f>"GS*HC*ANTHEM*PROFEPVA*"&amp;E2&amp;"*1749*"&amp;H2&amp;"*X*005010X223A2"</f>
        <v>GS*HC*ANTHEM*PROFEPVA*20210615*1749*211975661*X*005010X223A2</v>
      </c>
      <c r="V19" t="s">
        <v>120</v>
      </c>
      <c r="W19" s="7" t="str">
        <f>"BHT*0019*00*20856043923*"&amp;E2&amp;"*174915*CH"</f>
        <v>BHT*0019*00*20856043923*20210615*174915*CH</v>
      </c>
      <c r="X19" t="str">
        <f t="shared" ref="X19:X20" si="12">"NM1*IL*1*James*Norman****MI*"&amp;J$2</f>
        <v>NM1*IL*1*James*Norman****MI*R11995661</v>
      </c>
      <c r="Y19" s="7" t="str">
        <f t="shared" ref="Y19:Y20" si="13">"CLM*"&amp;I$4</f>
        <v>CLM*CI21197D075661</v>
      </c>
      <c r="Z19" s="7" t="str">
        <f t="shared" si="10"/>
        <v>REF*D9*CI21197D075661</v>
      </c>
    </row>
    <row r="20" spans="18:26" x14ac:dyDescent="0.25">
      <c r="R20" t="s">
        <v>41</v>
      </c>
      <c r="S20" s="7" t="s">
        <v>127</v>
      </c>
      <c r="T20" t="str">
        <f>"ISA*00*          *00*          *ZZ*COB            *ZZ*COBFEPNV       *"&amp;F2&amp;"*1731*^*00501*"&amp;H2&amp;"*0*T*|"</f>
        <v>ISA*00*          *00*          *ZZ*COB            *ZZ*COBFEPNV       *210615*1731*^*00501*211975661*0*T*|</v>
      </c>
      <c r="U20" t="str">
        <f>"GS*HC*COB*COBFEPWI*"&amp;E2&amp;"*1749*"&amp;H2&amp;"*X*005010X223A2"</f>
        <v>GS*HC*COB*COBFEPWI*20210615*1749*211975661*X*005010X223A2</v>
      </c>
      <c r="V20" t="s">
        <v>120</v>
      </c>
      <c r="W20" s="7" t="str">
        <f>"BHT*0019*00*20856043923*"&amp;E2&amp;"*174915*CH"</f>
        <v>BHT*0019*00*20856043923*20210615*174915*CH</v>
      </c>
      <c r="X20" t="str">
        <f t="shared" si="12"/>
        <v>NM1*IL*1*James*Norman****MI*R11995661</v>
      </c>
      <c r="Y20" s="7" t="str">
        <f t="shared" si="13"/>
        <v>CLM*CI21197D075661</v>
      </c>
      <c r="Z20" s="7" t="str">
        <f t="shared" si="10"/>
        <v>REF*D9*CI21197D075661</v>
      </c>
    </row>
    <row r="21" spans="18:26" ht="14.5" x14ac:dyDescent="0.35">
      <c r="R21" s="12" t="s">
        <v>38</v>
      </c>
      <c r="S21" s="12" t="s">
        <v>25</v>
      </c>
      <c r="T21" s="12" t="s">
        <v>37</v>
      </c>
      <c r="U21" s="12" t="s">
        <v>46</v>
      </c>
      <c r="V21" s="12" t="s">
        <v>47</v>
      </c>
      <c r="W21" s="12" t="s">
        <v>48</v>
      </c>
      <c r="X21" s="12" t="s">
        <v>49</v>
      </c>
      <c r="Y21" s="12" t="s">
        <v>50</v>
      </c>
      <c r="Z21" s="12" t="s">
        <v>51</v>
      </c>
    </row>
    <row r="22" spans="18:26" x14ac:dyDescent="0.25">
      <c r="R22" t="s">
        <v>39</v>
      </c>
      <c r="S22" s="7" t="s">
        <v>26</v>
      </c>
      <c r="T22" t="str">
        <f>"ISA*00*          *00*          *ZZ*ANTHEM         *ZZ*FEP            *"&amp;F$2&amp;"*0431*^*00501*"&amp;H$2&amp;"*0*T*|"</f>
        <v>ISA*00*          *00*          *ZZ*ANTHEM         *ZZ*FEP            *210615*0431*^*00501*211975661*0*T*|</v>
      </c>
      <c r="U22" t="str">
        <f>"GS*HC*ANTHEM*FEPCA*"&amp;E$2&amp;"*0505*"&amp;H$2&amp;"*X*005010X224A2"</f>
        <v>GS*HC*ANTHEM*FEPCA*20210615*0505*211975661*X*005010X224A2</v>
      </c>
      <c r="V22" t="s">
        <v>134</v>
      </c>
      <c r="W22" s="7" t="str">
        <f t="shared" ref="W22:W27" si="14">"BHT*0019*00*20295609937*"&amp;E$2&amp;"*050506*CH"</f>
        <v>BHT*0019*00*20295609937*20210615*050506*CH</v>
      </c>
      <c r="X22" t="str">
        <f t="shared" ref="X22:X27" si="15">"NM1*IL*1*LILLY*ANU****MI*"&amp;J$2</f>
        <v>NM1*IL*1*LILLY*ANU****MI*R11995661</v>
      </c>
      <c r="Y22" s="7" t="str">
        <f>"CLM*"&amp;I$5&amp;"FS04"</f>
        <v>CLM*CD21197D075661FS04</v>
      </c>
      <c r="Z22" s="7" t="str">
        <f>"REF*D9*"&amp;I$5</f>
        <v>REF*D9*CD21197D075661</v>
      </c>
    </row>
    <row r="23" spans="18:26" x14ac:dyDescent="0.25">
      <c r="R23" t="s">
        <v>39</v>
      </c>
      <c r="S23" s="7" t="s">
        <v>28</v>
      </c>
      <c r="T23" t="str">
        <f>"ISA*00*          *00*          *ZZ*ANTHEM         *ZZ*PROFEPGA       *"&amp;F$2&amp;"*0431*^*00501*"&amp;H$2&amp;"*0*T*|"</f>
        <v>ISA*00*          *00*          *ZZ*ANTHEM         *ZZ*PROFEPGA       *210615*0431*^*00501*211975661*0*T*|</v>
      </c>
      <c r="U23" t="str">
        <f>"GS*HC*ANTHEM*PROFEPGA*"&amp;E$2&amp;"*0505*"&amp;H$2&amp;"*X*005010X224A2"</f>
        <v>GS*HC*ANTHEM*PROFEPGA*20210615*0505*211975661*X*005010X224A2</v>
      </c>
      <c r="V23" t="s">
        <v>134</v>
      </c>
      <c r="W23" s="7" t="str">
        <f t="shared" si="14"/>
        <v>BHT*0019*00*20295609937*20210615*050506*CH</v>
      </c>
      <c r="X23" t="str">
        <f t="shared" si="15"/>
        <v>NM1*IL*1*LILLY*ANU****MI*R11995661</v>
      </c>
      <c r="Y23" s="7" t="str">
        <f>"CLM*"&amp;I$5&amp;"FS04"</f>
        <v>CLM*CD21197D075661FS04</v>
      </c>
      <c r="Z23" s="7" t="str">
        <f t="shared" ref="Z23:Z27" si="16">"REF*D9*"&amp;I$5</f>
        <v>REF*D9*CD21197D075661</v>
      </c>
    </row>
    <row r="24" spans="18:26" x14ac:dyDescent="0.25">
      <c r="R24" s="10" t="s">
        <v>40</v>
      </c>
      <c r="S24" s="11" t="s">
        <v>26</v>
      </c>
      <c r="T24" t="str">
        <f>"ISA*00*          *00*          *ZZ*ANTHEM         *ZZ*FEP            *"&amp;F$2&amp;"*0431*^*00501*"&amp;H$2&amp;"*0*T*|"</f>
        <v>ISA*00*          *00*          *ZZ*ANTHEM         *ZZ*FEP            *210615*0431*^*00501*211975661*0*T*|</v>
      </c>
      <c r="U24" t="str">
        <f>"GS*HC*ANTHEM*FEPCA*"&amp;E$2&amp;"*0505*"&amp;H$2&amp;"*X*005010X224A2"</f>
        <v>GS*HC*ANTHEM*FEPCA*20210615*0505*211975661*X*005010X224A2</v>
      </c>
      <c r="V24" t="s">
        <v>134</v>
      </c>
      <c r="W24" s="7" t="str">
        <f t="shared" si="14"/>
        <v>BHT*0019*00*20295609937*20210615*050506*CH</v>
      </c>
      <c r="X24" t="str">
        <f t="shared" si="15"/>
        <v>NM1*IL*1*LILLY*ANU****MI*R11995661</v>
      </c>
      <c r="Y24" s="7" t="str">
        <f>"CLM*"&amp;I$5&amp;"FS02"</f>
        <v>CLM*CD21197D075661FS02</v>
      </c>
      <c r="Z24" s="7" t="str">
        <f t="shared" si="16"/>
        <v>REF*D9*CD21197D075661</v>
      </c>
    </row>
    <row r="25" spans="18:26" x14ac:dyDescent="0.25">
      <c r="R25" s="10" t="s">
        <v>40</v>
      </c>
      <c r="S25" s="11" t="s">
        <v>28</v>
      </c>
      <c r="T25" t="str">
        <f>"ISA*00*          *00*          *ZZ*ANTHEM         *ZZ*PROFEPGA       *"&amp;F$2&amp;"*0431*^*00501*"&amp;H$2&amp;"*0*T*|"</f>
        <v>ISA*00*          *00*          *ZZ*ANTHEM         *ZZ*PROFEPGA       *210615*0431*^*00501*211975661*0*T*|</v>
      </c>
      <c r="U25" t="str">
        <f>"GS*HC*ANTHEM*PROFEPGA*"&amp;E$2&amp;"*0505*"&amp;H$2&amp;"*X*005010X224A2"</f>
        <v>GS*HC*ANTHEM*PROFEPGA*20210615*0505*211975661*X*005010X224A2</v>
      </c>
      <c r="V25" t="s">
        <v>134</v>
      </c>
      <c r="W25" s="7" t="str">
        <f t="shared" si="14"/>
        <v>BHT*0019*00*20295609937*20210615*050506*CH</v>
      </c>
      <c r="X25" t="str">
        <f t="shared" si="15"/>
        <v>NM1*IL*1*LILLY*ANU****MI*R11995661</v>
      </c>
      <c r="Y25" s="7" t="str">
        <f>"CLM*"&amp;I$5&amp;"FS02"</f>
        <v>CLM*CD21197D075661FS02</v>
      </c>
      <c r="Z25" s="7" t="str">
        <f t="shared" si="16"/>
        <v>REF*D9*CD21197D075661</v>
      </c>
    </row>
    <row r="26" spans="18:26" x14ac:dyDescent="0.25">
      <c r="R26" t="s">
        <v>41</v>
      </c>
      <c r="S26" s="7" t="s">
        <v>26</v>
      </c>
      <c r="T26" t="str">
        <f>"ISA*00*          *00*          *ZZ*ANTHEM         *ZZ*FEP            *"&amp;F$2&amp;"*0431*^*00501*"&amp;H$2&amp;"*0*T*|"</f>
        <v>ISA*00*          *00*          *ZZ*ANTHEM         *ZZ*FEP            *210615*0431*^*00501*211975661*0*T*|</v>
      </c>
      <c r="U26" t="str">
        <f>"GS*HC*ANTHEM*FEPCA*"&amp;E$2&amp;"*0505*"&amp;H$2&amp;"*X*005010X224A2"</f>
        <v>GS*HC*ANTHEM*FEPCA*20210615*0505*211975661*X*005010X224A2</v>
      </c>
      <c r="V26" t="s">
        <v>134</v>
      </c>
      <c r="W26" s="7" t="str">
        <f t="shared" si="14"/>
        <v>BHT*0019*00*20295609937*20210615*050506*CH</v>
      </c>
      <c r="X26" t="str">
        <f t="shared" si="15"/>
        <v>NM1*IL*1*LILLY*ANU****MI*R11995661</v>
      </c>
      <c r="Y26" s="7" t="str">
        <f t="shared" ref="Y22:Y27" si="17">"CLM*CD"&amp;I$2</f>
        <v>CLM*CD21197D075661</v>
      </c>
      <c r="Z26" s="7" t="str">
        <f t="shared" si="16"/>
        <v>REF*D9*CD21197D075661</v>
      </c>
    </row>
    <row r="27" spans="18:26" x14ac:dyDescent="0.25">
      <c r="R27" t="s">
        <v>41</v>
      </c>
      <c r="S27" s="7" t="s">
        <v>28</v>
      </c>
      <c r="T27" t="str">
        <f>"ISA*00*          *00*          *ZZ*ANTHEM         *ZZ*PROFEPGA       *"&amp;F$2&amp;"*0431*^*00501*"&amp;H$2&amp;"*0*T*|"</f>
        <v>ISA*00*          *00*          *ZZ*ANTHEM         *ZZ*PROFEPGA       *210615*0431*^*00501*211975661*0*T*|</v>
      </c>
      <c r="U27" t="str">
        <f>"GS*HC*ANTHEM*PROFEPGA*"&amp;E$2&amp;"*0505*"&amp;H$2&amp;"*X*005010X224A2"</f>
        <v>GS*HC*ANTHEM*PROFEPGA*20210615*0505*211975661*X*005010X224A2</v>
      </c>
      <c r="V27" t="s">
        <v>134</v>
      </c>
      <c r="W27" s="7" t="str">
        <f t="shared" si="14"/>
        <v>BHT*0019*00*20295609937*20210615*050506*CH</v>
      </c>
      <c r="X27" t="str">
        <f t="shared" si="15"/>
        <v>NM1*IL*1*LILLY*ANU****MI*R11995661</v>
      </c>
      <c r="Y27" s="7" t="str">
        <f t="shared" si="17"/>
        <v>CLM*CD21197D075661</v>
      </c>
      <c r="Z27" s="7" t="str">
        <f t="shared" si="16"/>
        <v>REF*D9*CD21197D075661</v>
      </c>
    </row>
  </sheetData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8381-4608-4276-97CD-C0BC9187CBC9}">
  <sheetPr codeName="Sheet3"/>
  <dimension ref="A1:BE40"/>
  <sheetViews>
    <sheetView topLeftCell="N25" workbookViewId="0">
      <selection activeCell="X40" sqref="X40"/>
    </sheetView>
  </sheetViews>
  <sheetFormatPr defaultRowHeight="12.5" x14ac:dyDescent="0.25"/>
  <cols>
    <col min="2" max="2" width="9.7265625" bestFit="1" customWidth="1"/>
    <col min="3" max="3" width="92.453125" bestFit="1" customWidth="1"/>
  </cols>
  <sheetData>
    <row r="1" spans="1:11" ht="14.5" x14ac:dyDescent="0.35">
      <c r="A1" s="12" t="s">
        <v>38</v>
      </c>
      <c r="B1" s="12" t="s">
        <v>25</v>
      </c>
      <c r="C1" s="12" t="s">
        <v>45</v>
      </c>
      <c r="D1" s="12" t="s">
        <v>46</v>
      </c>
      <c r="E1" s="12" t="s">
        <v>47</v>
      </c>
      <c r="F1" s="12" t="s">
        <v>48</v>
      </c>
      <c r="G1" s="12" t="s">
        <v>49</v>
      </c>
      <c r="H1" s="12" t="s">
        <v>50</v>
      </c>
      <c r="I1" s="12" t="s">
        <v>51</v>
      </c>
      <c r="J1" s="12" t="s">
        <v>52</v>
      </c>
      <c r="K1" s="12" t="s">
        <v>53</v>
      </c>
    </row>
    <row r="2" spans="1:11" x14ac:dyDescent="0.25">
      <c r="A2" t="s">
        <v>39</v>
      </c>
      <c r="B2" s="7" t="s">
        <v>26</v>
      </c>
      <c r="C2" t="s">
        <v>54</v>
      </c>
      <c r="D2" t="s">
        <v>55</v>
      </c>
      <c r="E2" t="s">
        <v>56</v>
      </c>
      <c r="F2" t="s">
        <v>57</v>
      </c>
      <c r="G2" t="s">
        <v>58</v>
      </c>
      <c r="H2" t="s">
        <v>59</v>
      </c>
      <c r="J2" t="s">
        <v>60</v>
      </c>
      <c r="K2" t="s">
        <v>61</v>
      </c>
    </row>
    <row r="3" spans="1:11" x14ac:dyDescent="0.25">
      <c r="A3" t="s">
        <v>39</v>
      </c>
      <c r="B3" s="7" t="s">
        <v>28</v>
      </c>
      <c r="C3" t="s">
        <v>62</v>
      </c>
      <c r="D3" t="s">
        <v>63</v>
      </c>
      <c r="E3" t="s">
        <v>56</v>
      </c>
      <c r="F3" t="s">
        <v>64</v>
      </c>
      <c r="G3" t="s">
        <v>58</v>
      </c>
      <c r="H3" t="s">
        <v>65</v>
      </c>
      <c r="I3" t="s">
        <v>66</v>
      </c>
      <c r="J3" t="s">
        <v>67</v>
      </c>
      <c r="K3" t="s">
        <v>68</v>
      </c>
    </row>
    <row r="4" spans="1:11" x14ac:dyDescent="0.25">
      <c r="A4" t="s">
        <v>39</v>
      </c>
      <c r="B4" s="7" t="s">
        <v>27</v>
      </c>
      <c r="C4" t="s">
        <v>69</v>
      </c>
      <c r="D4" t="s">
        <v>70</v>
      </c>
      <c r="E4" t="s">
        <v>56</v>
      </c>
      <c r="F4" t="s">
        <v>57</v>
      </c>
      <c r="G4" t="s">
        <v>58</v>
      </c>
      <c r="H4" t="s">
        <v>71</v>
      </c>
      <c r="J4" t="s">
        <v>72</v>
      </c>
      <c r="K4" t="s">
        <v>73</v>
      </c>
    </row>
    <row r="5" spans="1:11" x14ac:dyDescent="0.25">
      <c r="A5" s="10" t="s">
        <v>40</v>
      </c>
      <c r="B5" s="11" t="s">
        <v>26</v>
      </c>
      <c r="H5" t="s">
        <v>74</v>
      </c>
    </row>
    <row r="6" spans="1:11" x14ac:dyDescent="0.25">
      <c r="A6" s="10" t="s">
        <v>40</v>
      </c>
      <c r="B6" s="11" t="s">
        <v>28</v>
      </c>
      <c r="H6" t="s">
        <v>74</v>
      </c>
    </row>
    <row r="7" spans="1:11" x14ac:dyDescent="0.25">
      <c r="A7" s="10" t="s">
        <v>40</v>
      </c>
      <c r="B7" s="11" t="s">
        <v>27</v>
      </c>
      <c r="H7" t="s">
        <v>74</v>
      </c>
    </row>
    <row r="8" spans="1:11" x14ac:dyDescent="0.25">
      <c r="A8" t="s">
        <v>41</v>
      </c>
      <c r="B8" s="7" t="s">
        <v>26</v>
      </c>
      <c r="C8" t="s">
        <v>75</v>
      </c>
      <c r="D8" t="s">
        <v>42</v>
      </c>
      <c r="E8" t="s">
        <v>43</v>
      </c>
      <c r="F8" t="s">
        <v>44</v>
      </c>
      <c r="G8" t="s">
        <v>76</v>
      </c>
      <c r="H8" t="s">
        <v>77</v>
      </c>
      <c r="I8" t="s">
        <v>78</v>
      </c>
      <c r="J8" t="s">
        <v>79</v>
      </c>
      <c r="K8" t="s">
        <v>80</v>
      </c>
    </row>
    <row r="9" spans="1:11" x14ac:dyDescent="0.25">
      <c r="A9" t="s">
        <v>41</v>
      </c>
      <c r="B9" s="7" t="s">
        <v>28</v>
      </c>
      <c r="C9" t="s">
        <v>81</v>
      </c>
      <c r="D9" t="s">
        <v>82</v>
      </c>
      <c r="E9" t="s">
        <v>43</v>
      </c>
      <c r="F9" t="s">
        <v>44</v>
      </c>
      <c r="G9" t="s">
        <v>76</v>
      </c>
      <c r="H9" t="s">
        <v>77</v>
      </c>
      <c r="I9" t="s">
        <v>78</v>
      </c>
      <c r="J9" t="s">
        <v>79</v>
      </c>
      <c r="K9" t="s">
        <v>80</v>
      </c>
    </row>
    <row r="10" spans="1:11" x14ac:dyDescent="0.25">
      <c r="A10" t="s">
        <v>41</v>
      </c>
      <c r="B10" s="7" t="s">
        <v>83</v>
      </c>
      <c r="C10" t="s">
        <v>84</v>
      </c>
      <c r="D10" t="s">
        <v>85</v>
      </c>
      <c r="E10" t="s">
        <v>43</v>
      </c>
      <c r="F10" t="s">
        <v>44</v>
      </c>
      <c r="G10" t="s">
        <v>76</v>
      </c>
      <c r="H10" t="s">
        <v>77</v>
      </c>
      <c r="I10" t="s">
        <v>78</v>
      </c>
      <c r="J10" t="s">
        <v>79</v>
      </c>
      <c r="K10" t="s">
        <v>80</v>
      </c>
    </row>
    <row r="13" spans="1:11" ht="14.5" x14ac:dyDescent="0.35">
      <c r="A13" s="12" t="s">
        <v>38</v>
      </c>
      <c r="B13" s="12" t="s">
        <v>25</v>
      </c>
      <c r="C13" s="12" t="s">
        <v>86</v>
      </c>
      <c r="D13" s="12" t="s">
        <v>46</v>
      </c>
      <c r="E13" s="12" t="s">
        <v>47</v>
      </c>
      <c r="F13" s="12" t="s">
        <v>48</v>
      </c>
      <c r="G13" s="12" t="s">
        <v>49</v>
      </c>
      <c r="H13" s="12" t="s">
        <v>50</v>
      </c>
      <c r="I13" s="12" t="s">
        <v>51</v>
      </c>
      <c r="J13" s="12" t="s">
        <v>52</v>
      </c>
      <c r="K13" s="12" t="s">
        <v>53</v>
      </c>
    </row>
    <row r="14" spans="1:11" x14ac:dyDescent="0.25">
      <c r="A14" t="s">
        <v>39</v>
      </c>
      <c r="B14" s="7" t="s">
        <v>26</v>
      </c>
      <c r="C14" t="s">
        <v>87</v>
      </c>
      <c r="D14" t="s">
        <v>88</v>
      </c>
      <c r="E14" t="s">
        <v>89</v>
      </c>
      <c r="F14" t="s">
        <v>90</v>
      </c>
      <c r="G14" t="s">
        <v>91</v>
      </c>
      <c r="H14" t="s">
        <v>92</v>
      </c>
      <c r="J14" t="s">
        <v>93</v>
      </c>
      <c r="K14" t="s">
        <v>94</v>
      </c>
    </row>
    <row r="15" spans="1:11" x14ac:dyDescent="0.25">
      <c r="A15" t="s">
        <v>39</v>
      </c>
      <c r="B15" s="7" t="s">
        <v>28</v>
      </c>
      <c r="C15" t="s">
        <v>95</v>
      </c>
      <c r="D15" t="s">
        <v>96</v>
      </c>
      <c r="E15" t="s">
        <v>89</v>
      </c>
      <c r="F15" t="s">
        <v>90</v>
      </c>
      <c r="G15" t="s">
        <v>97</v>
      </c>
      <c r="H15" t="s">
        <v>98</v>
      </c>
      <c r="I15" t="s">
        <v>99</v>
      </c>
      <c r="J15" t="s">
        <v>100</v>
      </c>
      <c r="K15" t="s">
        <v>101</v>
      </c>
    </row>
    <row r="16" spans="1:11" x14ac:dyDescent="0.25">
      <c r="A16" t="s">
        <v>39</v>
      </c>
      <c r="B16" s="7" t="s">
        <v>27</v>
      </c>
      <c r="C16" t="s">
        <v>102</v>
      </c>
      <c r="D16" t="s">
        <v>103</v>
      </c>
      <c r="E16" t="s">
        <v>89</v>
      </c>
      <c r="F16" t="s">
        <v>104</v>
      </c>
      <c r="G16" t="s">
        <v>105</v>
      </c>
      <c r="H16" t="s">
        <v>106</v>
      </c>
      <c r="J16" t="s">
        <v>107</v>
      </c>
      <c r="K16" t="s">
        <v>108</v>
      </c>
    </row>
    <row r="17" spans="1:11" x14ac:dyDescent="0.25">
      <c r="A17" s="10" t="s">
        <v>40</v>
      </c>
      <c r="B17" s="11" t="s">
        <v>26</v>
      </c>
      <c r="H17" t="s">
        <v>74</v>
      </c>
    </row>
    <row r="18" spans="1:11" x14ac:dyDescent="0.25">
      <c r="A18" s="10" t="s">
        <v>40</v>
      </c>
      <c r="B18" s="11" t="s">
        <v>28</v>
      </c>
      <c r="H18" t="s">
        <v>74</v>
      </c>
    </row>
    <row r="19" spans="1:11" x14ac:dyDescent="0.25">
      <c r="A19" s="10" t="s">
        <v>40</v>
      </c>
      <c r="B19" s="11" t="s">
        <v>27</v>
      </c>
      <c r="H19" t="s">
        <v>74</v>
      </c>
    </row>
    <row r="20" spans="1:11" x14ac:dyDescent="0.25">
      <c r="A20" t="s">
        <v>41</v>
      </c>
      <c r="B20" s="7" t="s">
        <v>26</v>
      </c>
      <c r="C20" t="s">
        <v>109</v>
      </c>
      <c r="D20" t="s">
        <v>110</v>
      </c>
      <c r="E20" t="s">
        <v>111</v>
      </c>
      <c r="F20" t="s">
        <v>112</v>
      </c>
      <c r="G20" t="s">
        <v>113</v>
      </c>
      <c r="H20" t="s">
        <v>114</v>
      </c>
      <c r="I20" t="s">
        <v>115</v>
      </c>
      <c r="J20" t="s">
        <v>116</v>
      </c>
      <c r="K20" t="s">
        <v>117</v>
      </c>
    </row>
    <row r="21" spans="1:11" x14ac:dyDescent="0.25">
      <c r="A21" t="s">
        <v>41</v>
      </c>
      <c r="B21" s="7" t="s">
        <v>28</v>
      </c>
      <c r="C21" t="s">
        <v>118</v>
      </c>
      <c r="D21" t="s">
        <v>119</v>
      </c>
      <c r="E21" t="s">
        <v>120</v>
      </c>
      <c r="F21" t="s">
        <v>121</v>
      </c>
      <c r="G21" t="s">
        <v>122</v>
      </c>
      <c r="H21" t="s">
        <v>123</v>
      </c>
      <c r="I21" t="s">
        <v>124</v>
      </c>
      <c r="J21" t="s">
        <v>125</v>
      </c>
      <c r="K21" t="s">
        <v>126</v>
      </c>
    </row>
    <row r="22" spans="1:11" x14ac:dyDescent="0.25">
      <c r="A22" t="s">
        <v>41</v>
      </c>
      <c r="B22" s="7" t="s">
        <v>127</v>
      </c>
      <c r="C22" t="s">
        <v>128</v>
      </c>
      <c r="D22" t="s">
        <v>129</v>
      </c>
      <c r="E22" t="s">
        <v>120</v>
      </c>
      <c r="F22" t="s">
        <v>121</v>
      </c>
      <c r="G22" t="s">
        <v>122</v>
      </c>
      <c r="H22" t="s">
        <v>123</v>
      </c>
      <c r="I22" t="s">
        <v>130</v>
      </c>
      <c r="J22" t="s">
        <v>125</v>
      </c>
      <c r="K22" t="s">
        <v>131</v>
      </c>
    </row>
    <row r="23" spans="1:11" x14ac:dyDescent="0.25">
      <c r="B23" s="7"/>
    </row>
    <row r="24" spans="1:11" x14ac:dyDescent="0.25">
      <c r="B24" s="7"/>
    </row>
    <row r="25" spans="1:11" ht="14.5" x14ac:dyDescent="0.35">
      <c r="A25" s="12" t="s">
        <v>38</v>
      </c>
      <c r="B25" s="12" t="s">
        <v>25</v>
      </c>
      <c r="C25" s="12" t="s">
        <v>37</v>
      </c>
      <c r="D25" s="12" t="s">
        <v>46</v>
      </c>
      <c r="E25" s="12" t="s">
        <v>47</v>
      </c>
      <c r="F25" s="12" t="s">
        <v>48</v>
      </c>
      <c r="G25" s="12" t="s">
        <v>49</v>
      </c>
      <c r="H25" s="12" t="s">
        <v>50</v>
      </c>
      <c r="I25" s="12" t="s">
        <v>51</v>
      </c>
      <c r="J25" s="12" t="s">
        <v>52</v>
      </c>
      <c r="K25" s="12" t="s">
        <v>53</v>
      </c>
    </row>
    <row r="26" spans="1:11" x14ac:dyDescent="0.25">
      <c r="A26" t="s">
        <v>39</v>
      </c>
      <c r="B26" s="7" t="s">
        <v>26</v>
      </c>
    </row>
    <row r="27" spans="1:11" x14ac:dyDescent="0.25">
      <c r="A27" t="s">
        <v>39</v>
      </c>
      <c r="B27" s="7" t="s">
        <v>28</v>
      </c>
    </row>
    <row r="28" spans="1:11" x14ac:dyDescent="0.25">
      <c r="A28" s="10" t="s">
        <v>40</v>
      </c>
      <c r="B28" s="11" t="s">
        <v>26</v>
      </c>
    </row>
    <row r="29" spans="1:11" x14ac:dyDescent="0.25">
      <c r="A29" s="10" t="s">
        <v>40</v>
      </c>
      <c r="B29" s="11" t="s">
        <v>28</v>
      </c>
    </row>
    <row r="30" spans="1:11" x14ac:dyDescent="0.25">
      <c r="A30" t="s">
        <v>41</v>
      </c>
      <c r="B30" s="7" t="s">
        <v>26</v>
      </c>
      <c r="C30" t="s">
        <v>132</v>
      </c>
      <c r="D30" t="s">
        <v>133</v>
      </c>
      <c r="E30" t="s">
        <v>134</v>
      </c>
      <c r="F30" t="s">
        <v>135</v>
      </c>
      <c r="G30" t="s">
        <v>136</v>
      </c>
      <c r="H30" t="s">
        <v>137</v>
      </c>
      <c r="I30" t="s">
        <v>138</v>
      </c>
      <c r="J30" t="s">
        <v>139</v>
      </c>
      <c r="K30" t="s">
        <v>140</v>
      </c>
    </row>
    <row r="31" spans="1:11" x14ac:dyDescent="0.25">
      <c r="A31" t="s">
        <v>41</v>
      </c>
      <c r="B31" s="7" t="s">
        <v>28</v>
      </c>
      <c r="C31" t="s">
        <v>141</v>
      </c>
      <c r="D31" t="s">
        <v>142</v>
      </c>
      <c r="E31" t="s">
        <v>134</v>
      </c>
      <c r="F31" t="s">
        <v>135</v>
      </c>
      <c r="G31" t="s">
        <v>143</v>
      </c>
      <c r="H31" t="s">
        <v>137</v>
      </c>
      <c r="I31" t="s">
        <v>144</v>
      </c>
      <c r="J31" t="s">
        <v>139</v>
      </c>
      <c r="K31" t="s">
        <v>140</v>
      </c>
    </row>
    <row r="32" spans="1:11" x14ac:dyDescent="0.25">
      <c r="B32" s="7"/>
    </row>
    <row r="40" spans="1:57" x14ac:dyDescent="0.25">
      <c r="A40" t="s">
        <v>148</v>
      </c>
      <c r="B40" t="s">
        <v>149</v>
      </c>
      <c r="C40" t="s">
        <v>43</v>
      </c>
      <c r="D40" t="s">
        <v>150</v>
      </c>
      <c r="E40" t="s">
        <v>151</v>
      </c>
      <c r="F40" t="s">
        <v>152</v>
      </c>
      <c r="G40" t="s">
        <v>153</v>
      </c>
      <c r="H40" t="s">
        <v>154</v>
      </c>
      <c r="I40" t="s">
        <v>155</v>
      </c>
      <c r="J40" t="s">
        <v>156</v>
      </c>
      <c r="K40" t="s">
        <v>157</v>
      </c>
      <c r="L40" t="s">
        <v>158</v>
      </c>
      <c r="M40" t="s">
        <v>159</v>
      </c>
      <c r="N40" t="s">
        <v>160</v>
      </c>
      <c r="O40" t="s">
        <v>161</v>
      </c>
      <c r="P40" t="s">
        <v>162</v>
      </c>
      <c r="Q40" t="s">
        <v>163</v>
      </c>
      <c r="R40" t="s">
        <v>164</v>
      </c>
      <c r="S40" t="s">
        <v>165</v>
      </c>
      <c r="T40" t="s">
        <v>166</v>
      </c>
      <c r="U40" t="s">
        <v>167</v>
      </c>
      <c r="V40" t="s">
        <v>168</v>
      </c>
      <c r="W40" t="s">
        <v>169</v>
      </c>
      <c r="X40" t="s">
        <v>170</v>
      </c>
      <c r="Y40" t="s">
        <v>171</v>
      </c>
      <c r="Z40" t="s">
        <v>172</v>
      </c>
      <c r="AA40" t="s">
        <v>173</v>
      </c>
      <c r="AB40" t="s">
        <v>174</v>
      </c>
      <c r="AC40" t="s">
        <v>175</v>
      </c>
      <c r="AD40" t="s">
        <v>176</v>
      </c>
      <c r="AE40" t="s">
        <v>177</v>
      </c>
      <c r="AF40" t="s">
        <v>178</v>
      </c>
      <c r="AG40" t="s">
        <v>179</v>
      </c>
      <c r="AH40" t="s">
        <v>180</v>
      </c>
      <c r="AI40" t="s">
        <v>181</v>
      </c>
      <c r="AJ40" t="s">
        <v>182</v>
      </c>
      <c r="AK40" t="s">
        <v>183</v>
      </c>
      <c r="AL40" t="s">
        <v>184</v>
      </c>
      <c r="AM40" t="s">
        <v>185</v>
      </c>
      <c r="AN40" t="s">
        <v>186</v>
      </c>
      <c r="AO40" t="s">
        <v>187</v>
      </c>
      <c r="AP40" t="s">
        <v>188</v>
      </c>
      <c r="AQ40" t="s">
        <v>185</v>
      </c>
      <c r="AR40" t="s">
        <v>189</v>
      </c>
      <c r="AS40" t="s">
        <v>190</v>
      </c>
      <c r="AT40" t="s">
        <v>191</v>
      </c>
      <c r="AU40" t="s">
        <v>181</v>
      </c>
      <c r="AV40" t="s">
        <v>192</v>
      </c>
      <c r="AW40" t="s">
        <v>193</v>
      </c>
      <c r="AX40" t="s">
        <v>194</v>
      </c>
      <c r="AY40" t="s">
        <v>195</v>
      </c>
      <c r="AZ40" t="s">
        <v>196</v>
      </c>
      <c r="BA40" t="s">
        <v>185</v>
      </c>
      <c r="BB40" t="s">
        <v>197</v>
      </c>
      <c r="BC40" t="s">
        <v>198</v>
      </c>
      <c r="BD40" t="s">
        <v>199</v>
      </c>
      <c r="BE40" t="s">
        <v>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Config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svendra</dc:creator>
  <cp:lastModifiedBy>Tamboli, Touseef</cp:lastModifiedBy>
  <dcterms:created xsi:type="dcterms:W3CDTF">2009-02-05T12:09:46Z</dcterms:created>
  <dcterms:modified xsi:type="dcterms:W3CDTF">2021-07-26T03:48:54Z</dcterms:modified>
</cp:coreProperties>
</file>